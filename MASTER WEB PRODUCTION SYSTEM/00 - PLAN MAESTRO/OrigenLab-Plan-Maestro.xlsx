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Tabla Maestra" sheetId="2" state="visible" r:id="rId4"/>
    <sheet name="Roadmap" sheetId="3" state="visible" r:id="rId5"/>
    <sheet name="Homologacion" sheetId="4" state="visible" r:id="rId6"/>
    <sheet name="Tablero Diario" sheetId="5" state="visible" r:id="rId7"/>
    <sheet name="Cadencia" sheetId="6" state="visible" r:id="rId8"/>
    <sheet name="Bitacora" sheetId="7" state="visible" r:id="rId9"/>
    <sheet name="Linea de Tiempo" sheetId="8" state="visible" r:id="rId10"/>
    <sheet name="KPIs" sheetId="9" state="visible" r:id="rId11"/>
  </sheets>
  <definedNames>
    <definedName function="false" hidden="true" localSheetId="6" name="_xlnm._FilterDatabase" vbProcedure="false">Bitacora!$A$2:$F$10</definedName>
    <definedName function="false" hidden="true" localSheetId="2" name="_xlnm._FilterDatabase" vbProcedure="false">Roadmap!$A$2:$G$21</definedName>
    <definedName function="false" hidden="true" localSheetId="1" name="_xlnm._FilterDatabase" vbProcedure="false">'Tabla Maestra'!$A$2:$W$33</definedName>
    <definedName function="false" hidden="true" localSheetId="4" name="_xlnm._FilterDatabase" vbProcedure="false">'Tablero Diario'!$A$2:$G$32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<sst xmlns="http://schemas.openxmlformats.org/spreadsheetml/2006/main" count="1278" uniqueCount="526">
  <si>
    <t xml:space="preserve">ORIGENLAB · PLAN MAESTRO DE PRODUCCIÓN, OPTIMIZACIÓN Y ESCALAMIENTO</t>
  </si>
  <si>
    <t xml:space="preserve">Fábrica de sitios web · Astro + Markdown · Estándar único de calidad, SEO, diseño, velocidad y documentación</t>
  </si>
  <si>
    <t xml:space="preserve">Fecha base: 19/06/2026   ·   Dirección de Operaciones Digitales   ·   31 proyectos cliente (Local · OrigenLab · Frank Oropeza)</t>
  </si>
  <si>
    <t xml:space="preserve">RESUMEN EJECUTIVO (en vivo)</t>
  </si>
  <si>
    <t xml:space="preserve">Proyectos totales</t>
  </si>
  <si>
    <t xml:space="preserve">Con favicon nuevo (LIVE)</t>
  </si>
  <si>
    <t xml:space="preserve">En Astro 6 (canónico)</t>
  </si>
  <si>
    <t xml:space="preserve">En Astro 4/5 (a migrar)</t>
  </si>
  <si>
    <t xml:space="preserve">31 / 31</t>
  </si>
  <si>
    <t xml:space="preserve">HTML estático (reconstruir)</t>
  </si>
  <si>
    <t xml:space="preserve">Prioridad P1</t>
  </si>
  <si>
    <t xml:space="preserve">Sin Schema/JSON-LD</t>
  </si>
  <si>
    <t xml:space="preserve">Sin tokens.css (homologar)</t>
  </si>
  <si>
    <t xml:space="preserve">LEYENDA DE ESTADOS</t>
  </si>
  <si>
    <t xml:space="preserve">OK</t>
  </si>
  <si>
    <t xml:space="preserve">Cumple el estándar</t>
  </si>
  <si>
    <t xml:space="preserve">Mejorar / Actualizar / Homologar</t>
  </si>
  <si>
    <t xml:space="preserve">Funciona pero por debajo del estándar</t>
  </si>
  <si>
    <t xml:space="preserve">Falta / Crítico / Migrar / Reconstruir</t>
  </si>
  <si>
    <t xml:space="preserve">Gap importante, acción requerida</t>
  </si>
  <si>
    <t xml:space="preserve">Por medir / Iniciar</t>
  </si>
  <si>
    <t xml:space="preserve">Pendiente de medición o de arranque</t>
  </si>
  <si>
    <t xml:space="preserve">CÓMO USAR ESTE TABLERO</t>
  </si>
  <si>
    <t xml:space="preserve">1. 'Tabla Maestra': estado real de cada sitio por dimensión (SEO, contenido, diseño, imágenes, velocidad, schema, blog, conversión) + Próxima Acción.</t>
  </si>
  <si>
    <t xml:space="preserve">2. 'Tablero Diario': agenda secuenciada (un sitio por día, P1 primero). Cada mañana se toma la fila del día y se ejecuta su tarea.</t>
  </si>
  <si>
    <t xml:space="preserve">3. 'Bitácora': se registra CADA cambio (fecha, sitio, página, qué se hizo, resultado). Es la memoria viva del proyecto.</t>
  </si>
  <si>
    <t xml:space="preserve">4. 'Roadmap' y 'Línea de Tiempo 12m': el plan estratégico por fases. 'Homologación': qué debe ser idéntico en todos los sitios. 'KPIs': métricas de avance.</t>
  </si>
  <si>
    <t xml:space="preserve">5. Regla de oro: ningún sitio se considera terminado hasta que cumpla la matriz de Homologación y quede registrado en la Bitácora.</t>
  </si>
  <si>
    <t xml:space="preserve">TABLA MAESTRA · AUDITORÍA Y PRÓXIMAS ACCIONES POR SITIO</t>
  </si>
  <si>
    <t xml:space="preserve">ID</t>
  </si>
  <si>
    <t xml:space="preserve">Cliente</t>
  </si>
  <si>
    <t xml:space="preserve">Dominio</t>
  </si>
  <si>
    <t xml:space="preserve">Sector</t>
  </si>
  <si>
    <t xml:space="preserve">Tipo</t>
  </si>
  <si>
    <t xml:space="preserve">Framework</t>
  </si>
  <si>
    <t xml:space="preserve">Estado Deploy</t>
  </si>
  <si>
    <t xml:space="preserve">Prioridad</t>
  </si>
  <si>
    <t xml:space="preserve">SEO</t>
  </si>
  <si>
    <t xml:space="preserve">Contenido</t>
  </si>
  <si>
    <t xml:space="preserve">Diseño</t>
  </si>
  <si>
    <t xml:space="preserve">Imágenes</t>
  </si>
  <si>
    <t xml:space="preserve">Velocidad</t>
  </si>
  <si>
    <t xml:space="preserve">Schema</t>
  </si>
  <si>
    <t xml:space="preserve">Blog</t>
  </si>
  <si>
    <t xml:space="preserve">Conversión</t>
  </si>
  <si>
    <t xml:space="preserve">Documentación</t>
  </si>
  <si>
    <t xml:space="preserve">#Pág</t>
  </si>
  <si>
    <t xml:space="preserve">#Blog</t>
  </si>
  <si>
    <t xml:space="preserve">#Img</t>
  </si>
  <si>
    <t xml:space="preserve">Img pesadas</t>
  </si>
  <si>
    <t xml:space="preserve">Observaciones</t>
  </si>
  <si>
    <t xml:space="preserve">Próxima Acción</t>
  </si>
  <si>
    <t xml:space="preserve">Barbería MX (directorio)</t>
  </si>
  <si>
    <t xml:space="preserve">barberia.mx</t>
  </si>
  <si>
    <t xml:space="preserve">Directorio/Belleza</t>
  </si>
  <si>
    <t xml:space="preserve">Sitio (HTML legacy)</t>
  </si>
  <si>
    <t xml:space="preserve">Node (no Astro)</t>
  </si>
  <si>
    <t xml:space="preserve">Live</t>
  </si>
  <si>
    <t xml:space="preserve">P1</t>
  </si>
  <si>
    <t xml:space="preserve">Falta</t>
  </si>
  <si>
    <t xml:space="preserve">Reconstruir</t>
  </si>
  <si>
    <t xml:space="preserve">Por medir</t>
  </si>
  <si>
    <t xml:space="preserve">Mejorar</t>
  </si>
  <si>
    <t xml:space="preserve">Iniciar</t>
  </si>
  <si>
    <t xml:space="preserve">Node (no Astro); sin tokens.css; sin schema; 0 blog</t>
  </si>
  <si>
    <t xml:space="preserve">Reconstruir en Astro 6 con plantilla canónica (homologar todo)</t>
  </si>
  <si>
    <t xml:space="preserve">Brincolins</t>
  </si>
  <si>
    <t xml:space="preserve">brincolins.com</t>
  </si>
  <si>
    <t xml:space="preserve">Renta eventos</t>
  </si>
  <si>
    <t xml:space="preserve">Sitio de servicios</t>
  </si>
  <si>
    <t xml:space="preserve">Astro 6.0</t>
  </si>
  <si>
    <t xml:space="preserve">Homologar</t>
  </si>
  <si>
    <t xml:space="preserve">En curso</t>
  </si>
  <si>
    <t xml:space="preserve">Astro 6.0; sin tokens.css; img 94-&gt;29MB</t>
  </si>
  <si>
    <t xml:space="preserve">Implementar tokens.css + design system homologado</t>
  </si>
  <si>
    <t xml:space="preserve">Cabo Image</t>
  </si>
  <si>
    <t xml:space="preserve">caboimage.com</t>
  </si>
  <si>
    <t xml:space="preserve">Fotografía</t>
  </si>
  <si>
    <t xml:space="preserve">Portafolio</t>
  </si>
  <si>
    <t xml:space="preserve">Astro 4.16</t>
  </si>
  <si>
    <t xml:space="preserve">Sin pipeline</t>
  </si>
  <si>
    <t xml:space="preserve">Astro 4.16; sin tokens.css; sin pipeline deploy</t>
  </si>
  <si>
    <t xml:space="preserve">Conectar pipeline de deploy CF Pages (workflow + secrets)</t>
  </si>
  <si>
    <t xml:space="preserve">Directorio CDMX</t>
  </si>
  <si>
    <t xml:space="preserve">cdmx.site</t>
  </si>
  <si>
    <t xml:space="preserve">Directorio</t>
  </si>
  <si>
    <t xml:space="preserve">Node (no Astro); sin tokens.css; sin schema; 0 blog; sin pipeline deploy</t>
  </si>
  <si>
    <t xml:space="preserve">Eventech</t>
  </si>
  <si>
    <t xml:space="preserve">eventech.mx</t>
  </si>
  <si>
    <t xml:space="preserve">Astro 5.7</t>
  </si>
  <si>
    <t xml:space="preserve">Astro 5.7; sin tokens.css; img optimizadas 401-&gt;197MB</t>
  </si>
  <si>
    <t xml:space="preserve">Inflapy (inflables)</t>
  </si>
  <si>
    <t xml:space="preserve">inflablesparafiestas.com.mx</t>
  </si>
  <si>
    <t xml:space="preserve">Astro 4.16; sin tokens.css; img pesadas resueltas</t>
  </si>
  <si>
    <t xml:space="preserve">Migrar a Astro 6 (stack canónico)</t>
  </si>
  <si>
    <t xml:space="preserve">Mededul .com (copia local)</t>
  </si>
  <si>
    <t xml:space="preserve">mesas-de-dulces.com</t>
  </si>
  <si>
    <t xml:space="preserve">Eventos/Activaciones</t>
  </si>
  <si>
    <t xml:space="preserve">Astro 5.1</t>
  </si>
  <si>
    <t xml:space="preserve">Local (no-git)</t>
  </si>
  <si>
    <t xml:space="preserve">Astro 5.1; 1 img pesadas; copia local no-git</t>
  </si>
  <si>
    <t xml:space="preserve">Mesas Picnic</t>
  </si>
  <si>
    <t xml:space="preserve">mesaspicnic.com</t>
  </si>
  <si>
    <t xml:space="preserve">Astro 4.16; sin tokens.css; pesadas en src/assets (Astro)</t>
  </si>
  <si>
    <t xml:space="preserve">Proyecto Red</t>
  </si>
  <si>
    <t xml:space="preserve">proyectored.com.mx</t>
  </si>
  <si>
    <t xml:space="preserve">Contra incendios</t>
  </si>
  <si>
    <t xml:space="preserve">Astro 6.1</t>
  </si>
  <si>
    <t xml:space="preserve">Astro 6.1; sin tokens.css; img 52-&gt;18MB</t>
  </si>
  <si>
    <t xml:space="preserve">Seguridad Privada MX</t>
  </si>
  <si>
    <t xml:space="preserve">seguridadprivadamx.com</t>
  </si>
  <si>
    <t xml:space="preserve">Seguridad privada</t>
  </si>
  <si>
    <t xml:space="preserve">Mededul .com</t>
  </si>
  <si>
    <t xml:space="preserve">Astro 5.1; 1 img pesadas; sin pipeline deploy</t>
  </si>
  <si>
    <t xml:space="preserve">Bombero MX</t>
  </si>
  <si>
    <t xml:space="preserve">bombero.mx</t>
  </si>
  <si>
    <t xml:space="preserve">P2</t>
  </si>
  <si>
    <t xml:space="preserve">Astro 6.1; 0 blog</t>
  </si>
  <si>
    <t xml:space="preserve">Definir plan editorial + primeros 5 artículos</t>
  </si>
  <si>
    <t xml:space="preserve">Cámara de Seguridad</t>
  </si>
  <si>
    <t xml:space="preserve">camara-de-seguridad.com</t>
  </si>
  <si>
    <t xml:space="preserve">Seguridad/CCTV</t>
  </si>
  <si>
    <t xml:space="preserve">Astro 5.7; sin tokens.css</t>
  </si>
  <si>
    <t xml:space="preserve">Clínica de Belleza</t>
  </si>
  <si>
    <t xml:space="preserve">clinicadebelleza.com.mx</t>
  </si>
  <si>
    <t xml:space="preserve">Belleza</t>
  </si>
  <si>
    <t xml:space="preserve">Astro 5.1; sin tokens.css</t>
  </si>
  <si>
    <t xml:space="preserve">Firefighter (.com.mx)</t>
  </si>
  <si>
    <t xml:space="preserve">firefighter.com.mx</t>
  </si>
  <si>
    <t xml:space="preserve">Astro 5.2</t>
  </si>
  <si>
    <t xml:space="preserve">Astro 5.2; sin tokens.css</t>
  </si>
  <si>
    <t xml:space="preserve">Firefighter MX</t>
  </si>
  <si>
    <t xml:space="preserve">firefighter.mx</t>
  </si>
  <si>
    <t xml:space="preserve">Firefighters MX</t>
  </si>
  <si>
    <t xml:space="preserve">firefighters.mx</t>
  </si>
  <si>
    <t xml:space="preserve">Astro 4.15</t>
  </si>
  <si>
    <t xml:space="preserve">Gama de México</t>
  </si>
  <si>
    <t xml:space="preserve">gamademexico.com</t>
  </si>
  <si>
    <t xml:space="preserve">Astro 5.17</t>
  </si>
  <si>
    <t xml:space="preserve">Astro 5.17; sin tokens.css</t>
  </si>
  <si>
    <t xml:space="preserve">Infiel MX</t>
  </si>
  <si>
    <t xml:space="preserve">infiel.mx</t>
  </si>
  <si>
    <t xml:space="preserve">Investigación</t>
  </si>
  <si>
    <t xml:space="preserve">Servicios</t>
  </si>
  <si>
    <t xml:space="preserve">Astro 4.16; sin tokens.css</t>
  </si>
  <si>
    <t xml:space="preserve">LGA Contra Incendios</t>
  </si>
  <si>
    <t xml:space="preserve">lgacontraincendios.com</t>
  </si>
  <si>
    <t xml:space="preserve">Astro 6.1; sin tokens.css; 2 img pesadas</t>
  </si>
  <si>
    <t xml:space="preserve">Mantenimiento de Extintores</t>
  </si>
  <si>
    <t xml:space="preserve">mantenimientodeextintores.mx</t>
  </si>
  <si>
    <t xml:space="preserve">Astro 6.0; sin tokens.css</t>
  </si>
  <si>
    <t xml:space="preserve">Mededul (mesas de dulces)</t>
  </si>
  <si>
    <t xml:space="preserve">Astro 4.15; 1 img pesadas</t>
  </si>
  <si>
    <t xml:space="preserve">Monitores Contra Incendios</t>
  </si>
  <si>
    <t xml:space="preserve">monitorescontraincendios.com</t>
  </si>
  <si>
    <t xml:space="preserve">Astro 5.12</t>
  </si>
  <si>
    <t xml:space="preserve">Astro 5.12; sin tokens.css</t>
  </si>
  <si>
    <t xml:space="preserve">Pantalla LED</t>
  </si>
  <si>
    <t xml:space="preserve">pantalla-led.com</t>
  </si>
  <si>
    <t xml:space="preserve">Astro 5.7; sin sitemap; 0 blog</t>
  </si>
  <si>
    <t xml:space="preserve">Podium Ex</t>
  </si>
  <si>
    <t xml:space="preserve">podiumex.com</t>
  </si>
  <si>
    <t xml:space="preserve">Renta de Iluminación</t>
  </si>
  <si>
    <t xml:space="preserve">rentadeiluminacion.com</t>
  </si>
  <si>
    <t xml:space="preserve">Renta Sonido e Iluminación</t>
  </si>
  <si>
    <t xml:space="preserve">rentadesonidoeiluminacion.com.mx</t>
  </si>
  <si>
    <t xml:space="preserve">Astro 6.1; sin tokens.css; 0 blog</t>
  </si>
  <si>
    <t xml:space="preserve">Seprico (condominios)</t>
  </si>
  <si>
    <t xml:space="preserve">seguridadprivadacondominios.com</t>
  </si>
  <si>
    <t xml:space="preserve">Origins Seguridad Privada</t>
  </si>
  <si>
    <t xml:space="preserve">seguridad-privada.com.mx</t>
  </si>
  <si>
    <t xml:space="preserve">Astro 5.1; sin tokens.css; 3 img pesadas</t>
  </si>
  <si>
    <t xml:space="preserve">Seguridad Eventos</t>
  </si>
  <si>
    <t xml:space="preserve">seguridadeventos.com</t>
  </si>
  <si>
    <t xml:space="preserve">Astro 4.16; sin tokens.css; 1 img pesadas</t>
  </si>
  <si>
    <t xml:space="preserve">MESECI</t>
  </si>
  <si>
    <t xml:space="preserve">meseci.com.mx</t>
  </si>
  <si>
    <t xml:space="preserve">P3</t>
  </si>
  <si>
    <t xml:space="preserve">Auditoría fina SEO + Core Web Vitals (Lighthouse)</t>
  </si>
  <si>
    <t xml:space="preserve">ROADMAP MAESTRO DE OPTIMIZACIÓN</t>
  </si>
  <si>
    <t xml:space="preserve">Fase</t>
  </si>
  <si>
    <t xml:space="preserve">Actividad</t>
  </si>
  <si>
    <t xml:space="preserve">Objetivo</t>
  </si>
  <si>
    <t xml:space="preserve">Tiempo Estimado</t>
  </si>
  <si>
    <t xml:space="preserve">Dependencias</t>
  </si>
  <si>
    <t xml:space="preserve">Estado</t>
  </si>
  <si>
    <t xml:space="preserve">F1 Organización</t>
  </si>
  <si>
    <t xml:space="preserve">Inventario maestro + auditoría de 31 sitios</t>
  </si>
  <si>
    <t xml:space="preserve">Foto real de todo el portafolio</t>
  </si>
  <si>
    <t xml:space="preserve">Semana 1</t>
  </si>
  <si>
    <t xml:space="preserve">—</t>
  </si>
  <si>
    <t xml:space="preserve">Conectar pipeline de deploy a sitios sin CI (CABOIMAGE, CDMX, mededul.com)</t>
  </si>
  <si>
    <t xml:space="preserve">100% desplegando automáticamente</t>
  </si>
  <si>
    <t xml:space="preserve">gh+CF token</t>
  </si>
  <si>
    <t xml:space="preserve">Pendiente</t>
  </si>
  <si>
    <t xml:space="preserve">Reconstruir 3 sitios HTML legacy en Astro (BARBERIA, CDMX, SEGURIDADPRIVADAMX)</t>
  </si>
  <si>
    <t xml:space="preserve">Todo el portafolio en Astro</t>
  </si>
  <si>
    <t xml:space="preserve">Semanas 2-4</t>
  </si>
  <si>
    <t xml:space="preserve">Plantilla canónica</t>
  </si>
  <si>
    <t xml:space="preserve">F2 Homologación</t>
  </si>
  <si>
    <t xml:space="preserve">Definir y publicar plantilla canónica (scaffold) Astro 6</t>
  </si>
  <si>
    <t xml:space="preserve">1 sola base reutilizable</t>
  </si>
  <si>
    <t xml:space="preserve">Semana 2</t>
  </si>
  <si>
    <t xml:space="preserve">Vault MASTER</t>
  </si>
  <si>
    <t xml:space="preserve">Implementar tokens.css + design system en sitios sin tokens (20+)</t>
  </si>
  <si>
    <t xml:space="preserve">Diseño homogéneo</t>
  </si>
  <si>
    <t xml:space="preserve">Semanas 3-6</t>
  </si>
  <si>
    <t xml:space="preserve">Plantilla</t>
  </si>
  <si>
    <t xml:space="preserve">Homologar Header/Footer/Nav/Breadcrumbs/404</t>
  </si>
  <si>
    <t xml:space="preserve">UX idéntica</t>
  </si>
  <si>
    <t xml:space="preserve">tokens.css</t>
  </si>
  <si>
    <t xml:space="preserve">F3 SEO Global</t>
  </si>
  <si>
    <t xml:space="preserve">Agregar Schema/JSON-LD donde falta (LGA, PANTALLA-LED, mededul)</t>
  </si>
  <si>
    <t xml:space="preserve">Schema 100%</t>
  </si>
  <si>
    <t xml:space="preserve">Semana 3</t>
  </si>
  <si>
    <t xml:space="preserve">lib/seo</t>
  </si>
  <si>
    <t xml:space="preserve">Auditoría SEO on-page (titles/desc/H1/keywords/canibalización)</t>
  </si>
  <si>
    <t xml:space="preserve">SEO técnico limpio</t>
  </si>
  <si>
    <t xml:space="preserve">Semanas 4-8</t>
  </si>
  <si>
    <t xml:space="preserve">Sitemap + robots + OG + breadcrumbs en todos</t>
  </si>
  <si>
    <t xml:space="preserve">Indexación óptima</t>
  </si>
  <si>
    <t xml:space="preserve">F4 UX/Conversión</t>
  </si>
  <si>
    <t xml:space="preserve">CTAs WhatsApp-first + pruebas sociales + tablas comparativas</t>
  </si>
  <si>
    <t xml:space="preserve">Mejor conversión</t>
  </si>
  <si>
    <t xml:space="preserve">Semanas 6-10</t>
  </si>
  <si>
    <t xml:space="preserve">Homologación</t>
  </si>
  <si>
    <t xml:space="preserve">Core Web Vitals: optimizar imágenes pesadas (EVENTECH 377, BRINCOLINS/PROYECTORED 53)</t>
  </si>
  <si>
    <t xml:space="preserve">LCP/CLS/INP verde</t>
  </si>
  <si>
    <t xml:space="preserve">F5 Contenido</t>
  </si>
  <si>
    <t xml:space="preserve">Plan editorial por cluster + calendario</t>
  </si>
  <si>
    <t xml:space="preserve">Autoridad temática</t>
  </si>
  <si>
    <t xml:space="preserve">Semanas 8-16</t>
  </si>
  <si>
    <t xml:space="preserve">Producción masiva de artículos (sitios con 0 blog)</t>
  </si>
  <si>
    <t xml:space="preserve">Blog activo en 100%</t>
  </si>
  <si>
    <t xml:space="preserve">Semanas 8-24</t>
  </si>
  <si>
    <t xml:space="preserve">Plan editorial</t>
  </si>
  <si>
    <t xml:space="preserve">F6 Automatización</t>
  </si>
  <si>
    <t xml:space="preserve">Generador Astro+Markdown (scaffolding por CLI/script)</t>
  </si>
  <si>
    <t xml:space="preserve">Crear sitios en horas</t>
  </si>
  <si>
    <t xml:space="preserve">Semanas 12-20</t>
  </si>
  <si>
    <t xml:space="preserve">Pipeline de imágenes (AVIF/WebP) automatizado</t>
  </si>
  <si>
    <t xml:space="preserve">Cero imágenes pesadas</t>
  </si>
  <si>
    <t xml:space="preserve">Semanas 12-18</t>
  </si>
  <si>
    <t xml:space="preserve">F7 Documentación</t>
  </si>
  <si>
    <t xml:space="preserve">Centralizar bitácora + historiales (SEO/contenido/diseño/técnico)</t>
  </si>
  <si>
    <t xml:space="preserve">Trazabilidad total</t>
  </si>
  <si>
    <t xml:space="preserve">Continuo</t>
  </si>
  <si>
    <t xml:space="preserve">F8 Calidad</t>
  </si>
  <si>
    <t xml:space="preserve">Checklist de QA por sitio + CI astro check verde</t>
  </si>
  <si>
    <t xml:space="preserve">Cero errores técnicos</t>
  </si>
  <si>
    <t xml:space="preserve">F9 Optimización</t>
  </si>
  <si>
    <t xml:space="preserve">Revisión mensual de KPIs + iteración</t>
  </si>
  <si>
    <t xml:space="preserve">Mejora continua</t>
  </si>
  <si>
    <t xml:space="preserve">Mensual</t>
  </si>
  <si>
    <t xml:space="preserve">KPIs</t>
  </si>
  <si>
    <t xml:space="preserve">F10 Escalamiento</t>
  </si>
  <si>
    <t xml:space="preserve">Onboarding de nuevos clientes con la fábrica</t>
  </si>
  <si>
    <t xml:space="preserve">Crecer sin perder calidad</t>
  </si>
  <si>
    <t xml:space="preserve">Mes 6+</t>
  </si>
  <si>
    <t xml:space="preserve">F1-F8</t>
  </si>
  <si>
    <t xml:space="preserve">MATRIZ DE HOMOLOGACIÓN · ESTÁNDAR GLOBAL (idéntico en todos los sitios)</t>
  </si>
  <si>
    <t xml:space="preserve">Elemento</t>
  </si>
  <si>
    <t xml:space="preserve">Estándar Global</t>
  </si>
  <si>
    <t xml:space="preserve">Criterio / Definición</t>
  </si>
  <si>
    <t xml:space="preserve">Origen canónico</t>
  </si>
  <si>
    <t xml:space="preserve">Cumplimiento actual</t>
  </si>
  <si>
    <t xml:space="preserve">Astro 6.x SSG</t>
  </si>
  <si>
    <t xml:space="preserve">Todos en Astro 6, build verde (astro check 0 errores)</t>
  </si>
  <si>
    <t xml:space="preserve">ORIGENLAB-TEMPLATE</t>
  </si>
  <si>
    <t xml:space="preserve">Tokens / Design System</t>
  </si>
  <si>
    <t xml:space="preserve">Sí — tokens.css :root</t>
  </si>
  <si>
    <t xml:space="preserve">Variables de color/tipografía/espaciado únicas</t>
  </si>
  <si>
    <t xml:space="preserve">Header</t>
  </si>
  <si>
    <t xml:space="preserve">Sí</t>
  </si>
  <si>
    <t xml:space="preserve">Mismo patrón, logo, nav, CTA WhatsApp</t>
  </si>
  <si>
    <t xml:space="preserve">Componente Header.astro</t>
  </si>
  <si>
    <t xml:space="preserve">Por homologar</t>
  </si>
  <si>
    <t xml:space="preserve">Footer</t>
  </si>
  <si>
    <t xml:space="preserve">Mismo patrón, datos legales, enlaces internos</t>
  </si>
  <si>
    <t xml:space="preserve">Componente Footer.astro</t>
  </si>
  <si>
    <t xml:space="preserve">Navegación / Breadcrumbs</t>
  </si>
  <si>
    <t xml:space="preserve">Breadcrumbs con JSON-LD en todas las páginas</t>
  </si>
  <si>
    <t xml:space="preserve">SSoT configuración</t>
  </si>
  <si>
    <t xml:space="preserve">Sí — src/config/site.ts</t>
  </si>
  <si>
    <t xml:space="preserve">Datos del sitio centralizados y tipados</t>
  </si>
  <si>
    <t xml:space="preserve">PROYECTORED (ref)</t>
  </si>
  <si>
    <t xml:space="preserve">Content Collections</t>
  </si>
  <si>
    <t xml:space="preserve">Sí — Zod .strict()</t>
  </si>
  <si>
    <t xml:space="preserve">Colecciones validadas (blog, servicios)</t>
  </si>
  <si>
    <t xml:space="preserve">PODIUMEX schema.ts</t>
  </si>
  <si>
    <t xml:space="preserve">Parcial</t>
  </si>
  <si>
    <t xml:space="preserve">Schema / JSON-LD</t>
  </si>
  <si>
    <t xml:space="preserve">Sí por pageType</t>
  </si>
  <si>
    <t xml:space="preserve">Sin aggregateRating fabricado</t>
  </si>
  <si>
    <t xml:space="preserve">EVENTECH seo.ts</t>
  </si>
  <si>
    <t xml:space="preserve">Sitemap + Robots</t>
  </si>
  <si>
    <t xml:space="preserve">@astrojs/sitemap + robots.txt</t>
  </si>
  <si>
    <t xml:space="preserve">astro.config</t>
  </si>
  <si>
    <t xml:space="preserve">Open Graph</t>
  </si>
  <si>
    <t xml:space="preserve">og:image por página</t>
  </si>
  <si>
    <t xml:space="preserve">FAQ</t>
  </si>
  <si>
    <t xml:space="preserve">Bloque FAQ con FAQPage schema</t>
  </si>
  <si>
    <t xml:space="preserve">Componente FAQ.astro</t>
  </si>
  <si>
    <t xml:space="preserve">Tablas comparativas</t>
  </si>
  <si>
    <t xml:space="preserve">Comparativa en páginas de servicio/producto</t>
  </si>
  <si>
    <t xml:space="preserve">Componente Tabla</t>
  </si>
  <si>
    <t xml:space="preserve">CTA / Conversión</t>
  </si>
  <si>
    <t xml:space="preserve">Sí — WhatsApp-first</t>
  </si>
  <si>
    <t xml:space="preserve">waUrl() + botón flotante + pruebas sociales</t>
  </si>
  <si>
    <t xml:space="preserve">lib waUrl()</t>
  </si>
  <si>
    <t xml:space="preserve">Colección blog activa + plan editorial</t>
  </si>
  <si>
    <t xml:space="preserve">content/blog</t>
  </si>
  <si>
    <t xml:space="preserve">WebP/AVIF + alt</t>
  </si>
  <si>
    <t xml:space="preserve">Sin imágenes &gt;200KB, alt en todas</t>
  </si>
  <si>
    <t xml:space="preserve">pipeline imágenes</t>
  </si>
  <si>
    <t xml:space="preserve">En proceso</t>
  </si>
  <si>
    <t xml:space="preserve">Responsive</t>
  </si>
  <si>
    <t xml:space="preserve">Mobile-first, breakpoints homologados</t>
  </si>
  <si>
    <t xml:space="preserve">mobile.css</t>
  </si>
  <si>
    <t xml:space="preserve">Favicon vibrante</t>
  </si>
  <si>
    <t xml:space="preserve">Icono por sector, set completo</t>
  </si>
  <si>
    <t xml:space="preserve">_branding/favicons-2026-06</t>
  </si>
  <si>
    <t xml:space="preserve">31 / 31 ✔</t>
  </si>
  <si>
    <t xml:space="preserve">Página 404</t>
  </si>
  <si>
    <t xml:space="preserve">404 con navegación y CTA</t>
  </si>
  <si>
    <t xml:space="preserve">404.astro</t>
  </si>
  <si>
    <t xml:space="preserve">Deploy</t>
  </si>
  <si>
    <t xml:space="preserve">Sí — Cloudflare Pages</t>
  </si>
  <si>
    <t xml:space="preserve">GitHub Actions → wrangler pages deploy</t>
  </si>
  <si>
    <t xml:space="preserve">_tools/rollout-cf</t>
  </si>
  <si>
    <t xml:space="preserve">28 / 31</t>
  </si>
  <si>
    <t xml:space="preserve">Sí — Bitácora</t>
  </si>
  <si>
    <t xml:space="preserve">Cada cambio registrado</t>
  </si>
  <si>
    <t xml:space="preserve">Hoja Bitácora</t>
  </si>
  <si>
    <t xml:space="preserve">Iniciando</t>
  </si>
  <si>
    <t xml:space="preserve">TABLERO DE PRODUCCIÓN DIARIA · UN SITIO POR DÍA (P1 → P3)</t>
  </si>
  <si>
    <t xml:space="preserve">Día</t>
  </si>
  <si>
    <t xml:space="preserve">Fecha</t>
  </si>
  <si>
    <t xml:space="preserve">Cliente / Sitio</t>
  </si>
  <si>
    <t xml:space="preserve">Tarea del día</t>
  </si>
  <si>
    <t xml:space="preserve">Tiempo</t>
  </si>
  <si>
    <t xml:space="preserve">Mon 22/06</t>
  </si>
  <si>
    <t xml:space="preserve">2-4 h</t>
  </si>
  <si>
    <t xml:space="preserve">Tue 23/06</t>
  </si>
  <si>
    <t xml:space="preserve">Optimizar 53 imágenes pesadas → WebP/AVIF</t>
  </si>
  <si>
    <t xml:space="preserve">Wed 24/06</t>
  </si>
  <si>
    <t xml:space="preserve">Thu 25/06</t>
  </si>
  <si>
    <t xml:space="preserve">Fri 26/06</t>
  </si>
  <si>
    <t xml:space="preserve">Optimizar 377 imágenes pesadas → WebP/AVIF</t>
  </si>
  <si>
    <t xml:space="preserve">Mon 29/06</t>
  </si>
  <si>
    <t xml:space="preserve">Optimizar 6 imágenes pesadas → WebP/AVIF</t>
  </si>
  <si>
    <t xml:space="preserve">Tue 30/06</t>
  </si>
  <si>
    <t xml:space="preserve">Optimizar 14 imágenes pesadas → WebP/AVIF</t>
  </si>
  <si>
    <t xml:space="preserve">Wed 01/07</t>
  </si>
  <si>
    <t xml:space="preserve">Thu 02/07</t>
  </si>
  <si>
    <t xml:space="preserve">Fri 03/07</t>
  </si>
  <si>
    <t xml:space="preserve">Mon 06/07</t>
  </si>
  <si>
    <t xml:space="preserve">Tue 07/07</t>
  </si>
  <si>
    <t xml:space="preserve">Wed 08/07</t>
  </si>
  <si>
    <t xml:space="preserve">Thu 09/07</t>
  </si>
  <si>
    <t xml:space="preserve">Fri 10/07</t>
  </si>
  <si>
    <t xml:space="preserve">Mon 13/07</t>
  </si>
  <si>
    <t xml:space="preserve">Tue 14/07</t>
  </si>
  <si>
    <t xml:space="preserve">Wed 15/07</t>
  </si>
  <si>
    <t xml:space="preserve">Thu 16/07</t>
  </si>
  <si>
    <t xml:space="preserve">Fri 17/07</t>
  </si>
  <si>
    <t xml:space="preserve">Mon 20/07</t>
  </si>
  <si>
    <t xml:space="preserve">Tue 21/07</t>
  </si>
  <si>
    <t xml:space="preserve">Wed 22/07</t>
  </si>
  <si>
    <t xml:space="preserve">Thu 23/07</t>
  </si>
  <si>
    <t xml:space="preserve">Fri 24/07</t>
  </si>
  <si>
    <t xml:space="preserve">Mon 27/07</t>
  </si>
  <si>
    <t xml:space="preserve">Tue 28/07</t>
  </si>
  <si>
    <t xml:space="preserve">Wed 29/07</t>
  </si>
  <si>
    <t xml:space="preserve">Thu 30/07</t>
  </si>
  <si>
    <t xml:space="preserve">Fri 31/07</t>
  </si>
  <si>
    <t xml:space="preserve">CADENCIA OPERATIVA · RUTINAS FIJAS</t>
  </si>
  <si>
    <t xml:space="preserve">Frecuencia</t>
  </si>
  <si>
    <t xml:space="preserve">Tarea</t>
  </si>
  <si>
    <t xml:space="preserve">Detalle</t>
  </si>
  <si>
    <t xml:space="preserve">Responsable</t>
  </si>
  <si>
    <t xml:space="preserve">Diaria</t>
  </si>
  <si>
    <t xml:space="preserve">Ejecutar sitio del día</t>
  </si>
  <si>
    <t xml:space="preserve">Tomar fila del Tablero Diario, ejecutar Próxima Acción, registrar en Bitácora</t>
  </si>
  <si>
    <t xml:space="preserve">Producción</t>
  </si>
  <si>
    <t xml:space="preserve">astro check del sitio tocado</t>
  </si>
  <si>
    <t xml:space="preserve">Cero errores antes de commit/push</t>
  </si>
  <si>
    <t xml:space="preserve">Standup 8:00</t>
  </si>
  <si>
    <t xml:space="preserve">Qué se hizo ayer / qué hoy / bloqueos</t>
  </si>
  <si>
    <t xml:space="preserve">DG</t>
  </si>
  <si>
    <t xml:space="preserve">Semanal</t>
  </si>
  <si>
    <t xml:space="preserve">Revisión lunes 8:30</t>
  </si>
  <si>
    <t xml:space="preserve">Refrescar Tabla Maestra + KPIs + reordenar prioridades</t>
  </si>
  <si>
    <t xml:space="preserve">QA cruzado</t>
  </si>
  <si>
    <t xml:space="preserve">Revisar 3 sitios terminados contra matriz Homologación</t>
  </si>
  <si>
    <t xml:space="preserve">Calidad</t>
  </si>
  <si>
    <t xml:space="preserve">Backups + verificación deploy</t>
  </si>
  <si>
    <t xml:space="preserve">Confirmar 100% desplegando (check-cf-runs)</t>
  </si>
  <si>
    <t xml:space="preserve">Auditoría SEO global</t>
  </si>
  <si>
    <t xml:space="preserve">Titles/desc/canibalización/indexación (Search Console)</t>
  </si>
  <si>
    <t xml:space="preserve">Core Web Vitals</t>
  </si>
  <si>
    <t xml:space="preserve">Lighthouse a todos; lista de imágenes a optimizar</t>
  </si>
  <si>
    <t xml:space="preserve">Performance</t>
  </si>
  <si>
    <t xml:space="preserve">Revisión de KPIs</t>
  </si>
  <si>
    <t xml:space="preserve">Avance vs metas; ajustar roadmap</t>
  </si>
  <si>
    <t xml:space="preserve">Trimestral</t>
  </si>
  <si>
    <t xml:space="preserve">Auditoría de homologación total</t>
  </si>
  <si>
    <t xml:space="preserve">% de cumplimiento del estándar global por sitio</t>
  </si>
  <si>
    <t xml:space="preserve">Plan editorial del trimestre</t>
  </si>
  <si>
    <t xml:space="preserve">Calendario de artículos por cluster</t>
  </si>
  <si>
    <t xml:space="preserve">Mejoras a la plantilla canónica</t>
  </si>
  <si>
    <t xml:space="preserve">Incorporar aprendizajes al scaffold</t>
  </si>
  <si>
    <t xml:space="preserve">Arquitectura</t>
  </si>
  <si>
    <t xml:space="preserve">BITÁCORA DE CAMBIOS · MEMORIA VIVA (registrar TODO)</t>
  </si>
  <si>
    <t xml:space="preserve">Sitio</t>
  </si>
  <si>
    <t xml:space="preserve">Página / Área</t>
  </si>
  <si>
    <t xml:space="preserve">Cambio Realizado</t>
  </si>
  <si>
    <t xml:space="preserve">Resultado</t>
  </si>
  <si>
    <t xml:space="preserve">19/06/2026</t>
  </si>
  <si>
    <t xml:space="preserve">31 sitios</t>
  </si>
  <si>
    <t xml:space="preserve">public/ (favicons)</t>
  </si>
  <si>
    <t xml:space="preserve">Favicon vibrante por sector + set completo (svg/ico/png/avif/apple-touch) instalado in-place</t>
  </si>
  <si>
    <t xml:space="preserve">Hecho · 31/31</t>
  </si>
  <si>
    <t xml:space="preserve">20/06/2026</t>
  </si>
  <si>
    <t xml:space="preserve">28 sitios</t>
  </si>
  <si>
    <t xml:space="preserve">Repos GitHub</t>
  </si>
  <si>
    <t xml:space="preserve">Commit + push general de favicons; deploy CF Pages/GH Pages</t>
  </si>
  <si>
    <t xml:space="preserve">27/30 LIVE</t>
  </si>
  <si>
    <t xml:space="preserve">BOMBERO/FIREFIGHTERMX/SEGURIDADPRIVADA</t>
  </si>
  <si>
    <t xml:space="preserve">main</t>
  </si>
  <si>
    <t xml:space="preserve">Cherry-pick de favicon a main (sin mergear migración)</t>
  </si>
  <si>
    <t xml:space="preserve">Deploy OK</t>
  </si>
  <si>
    <t xml:space="preserve">SEGURIDADPRIVADA</t>
  </si>
  <si>
    <t xml:space="preserve">Fix schema: title 81→64, description 168→160 (desbloquea build)</t>
  </si>
  <si>
    <t xml:space="preserve">Deploy success</t>
  </si>
  <si>
    <t xml:space="preserve">MESASPICNIC</t>
  </si>
  <si>
    <t xml:space="preserve">Push a remote 'origenlab' (no era 'origin')</t>
  </si>
  <si>
    <t xml:space="preserve">public/images</t>
  </si>
  <si>
    <t xml:space="preserve">Optimizacion de 377 imagenes pesadas: recompresion in-place (max 1600px, q72-80) sin cambiar formato ni referencias. public 401MB -&gt; 197MB</t>
  </si>
  <si>
    <t xml:space="preserve">Hecho · deploy master f8063a19</t>
  </si>
  <si>
    <t xml:space="preserve">Optimizacion de 53 imagenes pesadas. public 94MB -&gt; 29MB</t>
  </si>
  <si>
    <t xml:space="preserve">Hecho · deploy main 60986ba</t>
  </si>
  <si>
    <t xml:space="preserve">Optimizacion de 53 imagenes pesadas. public 52MB -&gt; 18MB</t>
  </si>
  <si>
    <t xml:space="preserve">Hecho · deploy main 6cfa1e0</t>
  </si>
  <si>
    <t xml:space="preserve">Inflapy</t>
  </si>
  <si>
    <t xml:space="preserve">Optimizacion de 6 imagenes pesadas (0 restantes &gt;200KB)</t>
  </si>
  <si>
    <t xml:space="preserve">Hecho · deploy main 8a18c5c</t>
  </si>
  <si>
    <t xml:space="preserve">public + src/assets</t>
  </si>
  <si>
    <t xml:space="preserve">Revision: imagenes pesadas viven en src/assets (Astro las optimiza en build); public ligero. Limpieza de temporales</t>
  </si>
  <si>
    <t xml:space="preserve">Hecho · sin cambios necesarios</t>
  </si>
  <si>
    <t xml:space="preserve">LÍNEA DE TIEMPO · 12 MESES · 10 FASES</t>
  </si>
  <si>
    <t xml:space="preserve">Fase / Mes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</si>
  <si>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</si>
  <si>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</si>
  <si>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</si>
  <si>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</si>
  <si>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</si>
  <si>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</si>
  <si>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</si>
  <si>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</si>
  <si>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</si>
  <si>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</si>
  <si>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</si>
  <si>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</si>
  <si>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F1 · Organización total</t>
  </si>
  <si>
    <t xml:space="preserve">Inventario + deploy 100% + reconstruir legacy</t>
  </si>
  <si>
    <t xml:space="preserve">F2 · Homologación de estructura</t>
  </si>
  <si>
    <t xml:space="preserve">Plantilla canónica + tokens + componentes</t>
  </si>
  <si>
    <t xml:space="preserve">F3 · Optimización SEO global</t>
  </si>
  <si>
    <t xml:space="preserve">Schema, titles, sitemap, canibalización</t>
  </si>
  <si>
    <t xml:space="preserve">F4 · Optimización UX/Conversión</t>
  </si>
  <si>
    <t xml:space="preserve">Header/Footer/CTA/CWV/imágenes</t>
  </si>
  <si>
    <t xml:space="preserve">F5 · Producción masiva de contenido</t>
  </si>
  <si>
    <t xml:space="preserve">Plan editorial + artículos por cluster</t>
  </si>
  <si>
    <t xml:space="preserve">F6 · Automatización Astro+Markdown</t>
  </si>
  <si>
    <t xml:space="preserve">Generador/scaffold + pipeline imágenes</t>
  </si>
  <si>
    <t xml:space="preserve">F7 · Documentación centralizada</t>
  </si>
  <si>
    <t xml:space="preserve">Bitácora + historiales por dominio</t>
  </si>
  <si>
    <t xml:space="preserve">F8 · Control de calidad</t>
  </si>
  <si>
    <t xml:space="preserve">QA + CI astro check verde</t>
  </si>
  <si>
    <t xml:space="preserve">F9 · Optimización continua</t>
  </si>
  <si>
    <t xml:space="preserve">Revisión mensual de KPIs</t>
  </si>
  <si>
    <t xml:space="preserve">F10 · Escalamiento y crecimiento</t>
  </si>
  <si>
    <t xml:space="preserve">Onboarding clientes nuevos con la fábrica</t>
  </si>
  <si>
    <t xml:space="preserve">KPIs · MÉTRICAS DE SEGUIMIENTO</t>
  </si>
  <si>
    <t xml:space="preserve">Métrica</t>
  </si>
  <si>
    <t xml:space="preserve">Definición</t>
  </si>
  <si>
    <t xml:space="preserve">Baseline (19/06/2026)</t>
  </si>
  <si>
    <t xml:space="preserve">Meta</t>
  </si>
  <si>
    <t xml:space="preserve">Fuente</t>
  </si>
  <si>
    <t xml:space="preserve">Sitios en Astro 6</t>
  </si>
  <si>
    <t xml:space="preserve">Framework canónico</t>
  </si>
  <si>
    <t xml:space="preserve">Tabla Maestra</t>
  </si>
  <si>
    <t xml:space="preserve">Sitios desplegando (CI)</t>
  </si>
  <si>
    <t xml:space="preserve">Pipeline automático activo</t>
  </si>
  <si>
    <t xml:space="preserve">gh / CF Pages</t>
  </si>
  <si>
    <t xml:space="preserve">Schema/JSON-LD completo</t>
  </si>
  <si>
    <t xml:space="preserve">pageType con JSON-LD</t>
  </si>
  <si>
    <t xml:space="preserve">Design system (tokens.css)</t>
  </si>
  <si>
    <t xml:space="preserve">Diseño homologado</t>
  </si>
  <si>
    <t xml:space="preserve">Sitios con blog activo</t>
  </si>
  <si>
    <t xml:space="preserve">≥1 artículo y colección</t>
  </si>
  <si>
    <t xml:space="preserve">Imágenes pesadas (&gt;200KB)</t>
  </si>
  <si>
    <t xml:space="preserve">Suma de imágenes pesadas</t>
  </si>
  <si>
    <t xml:space="preserve">0</t>
  </si>
  <si>
    <t xml:space="preserve">Auditoría/Lighthouse</t>
  </si>
  <si>
    <t xml:space="preserve">Conversión WhatsApp-first</t>
  </si>
  <si>
    <t xml:space="preserve">CTA waUrl presente</t>
  </si>
  <si>
    <t xml:space="preserve">Icono por sector instalado</t>
  </si>
  <si>
    <t xml:space="preserve">_branding</t>
  </si>
  <si>
    <t xml:space="preserve">Sitios P1 abiertos</t>
  </si>
  <si>
    <t xml:space="preserve">Prioridad crítica pendiente</t>
  </si>
  <si>
    <t xml:space="preserve">baja a 0</t>
  </si>
  <si>
    <t xml:space="preserve">Core Web Vitals (LCP)</t>
  </si>
  <si>
    <t xml:space="preserve">LCP &lt; 2.5s en home</t>
  </si>
  <si>
    <t xml:space="preserve">100% verde</t>
  </si>
  <si>
    <t xml:space="preserve">PageSpeed</t>
  </si>
  <si>
    <t xml:space="preserve">Cobertura de documentación</t>
  </si>
  <si>
    <t xml:space="preserve">Sitios con bitácora al día</t>
  </si>
  <si>
    <t xml:space="preserve">0 / 31</t>
  </si>
  <si>
    <t xml:space="preserve">Bitácora</t>
  </si>
  <si>
    <t xml:space="preserve">Tiempo de creación de sitio</t>
  </si>
  <si>
    <t xml:space="preserve">Horas para un sitio nuevo</t>
  </si>
  <si>
    <t xml:space="preserve">Variable</t>
  </si>
  <si>
    <t xml:space="preserve">&lt; 1 día</t>
  </si>
  <si>
    <t xml:space="preserve">Fábrica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</si>
</sst>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1"/>
      <color rgb="FF0F2742"/>
      <name val="Arial"/>
      <family val="0"/>
      <charset val="1"/>
    </font>
    <font>
      <b val="true"/>
      <sz val="9"/>
      <color rgb="FF33507A"/>
      <name val="Arial"/>
      <family val="0"/>
      <charset val="1"/>
    </font>
    <font>
      <b val="true"/>
      <sz val="16"/>
      <color rgb="FF1D4ED8"/>
      <name val="Arial"/>
      <family val="0"/>
      <charset val="1"/>
    </font>
    <font>
      <b val="true"/>
      <sz val="9"/>
      <color rgb="FF1B7F4B"/>
      <name val="Arial"/>
      <family val="0"/>
      <charset val="1"/>
    </font>
    <font>
      <b val="true"/>
      <sz val="9"/>
      <color rgb="FFB7791F"/>
      <name val="Arial"/>
      <family val="0"/>
      <charset val="1"/>
    </font>
    <font>
      <b val="true"/>
      <sz val="9"/>
      <color rgb="FFB1122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0F2742"/>
      <name val="Arial"/>
      <family val="0"/>
      <charset val="1"/>
    </font>
    <font>
      <b val="true"/>
      <sz val="10"/>
      <color rgb="FF1D4ED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2742"/>
        <bgColor rgb="FF1A1A1A"/>
      </patternFill>
    </fill>
    <fill>
      <patternFill patternType="solid">
        <fgColor rgb="FF33507A"/>
        <bgColor rgb="FF333333"/>
      </patternFill>
    </fill>
    <fill>
      <patternFill patternType="solid">
        <fgColor rgb="FFEAF0FA"/>
        <bgColor rgb="FFF4F7FC"/>
      </patternFill>
    </fill>
    <fill>
      <patternFill patternType="solid">
        <fgColor rgb="FFF4F7FC"/>
        <bgColor rgb="FFEAF0FA"/>
      </patternFill>
    </fill>
    <fill>
      <patternFill patternType="solid">
        <fgColor rgb="FFFFFFFF"/>
        <bgColor rgb="FFF4F7FC"/>
      </patternFill>
    </fill>
    <fill>
      <patternFill patternType="solid">
        <fgColor rgb="FFD6F0E0"/>
        <bgColor rgb="FFDCE6FB"/>
      </patternFill>
    </fill>
    <fill>
      <patternFill patternType="solid">
        <fgColor rgb="FFFCEFCF"/>
        <bgColor rgb="FFF4F7FC"/>
      </patternFill>
    </fill>
    <fill>
      <patternFill patternType="solid">
        <fgColor rgb="FFF8D7DA"/>
        <bgColor rgb="FFFCEFCF"/>
      </patternFill>
    </fill>
    <fill>
      <patternFill patternType="solid">
        <fgColor rgb="FFDCE6FB"/>
        <bgColor rgb="FFEAF0FA"/>
      </patternFill>
    </fill>
    <fill>
      <patternFill patternType="solid">
        <fgColor rgb="FF1D4ED8"/>
        <bgColor rgb="FF336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/>
      <top style="thin">
        <color rgb="FFC9D2E0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F27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F0E0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CEFCF"/>
          <bgColor rgb="FF000000"/>
        </patternFill>
      </fill>
    </dxf>
    <dxf>
      <fill>
        <patternFill patternType="solid">
          <fgColor rgb="FF1B7F4B"/>
          <bgColor rgb="FF000000"/>
        </patternFill>
      </fill>
    </dxf>
    <dxf>
      <fill>
        <patternFill patternType="solid">
          <fgColor rgb="FFB11226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DCE6FB"/>
          <bgColor rgb="FF000000"/>
        </patternFill>
      </fill>
    </dxf>
    <dxf>
      <fill>
        <patternFill patternType="solid">
          <fgColor rgb="FF33507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1B7F4B"/>
      <rgbColor rgb="FFC0C0C0"/>
      <rgbColor rgb="FF808080"/>
      <rgbColor rgb="FF9999FF"/>
      <rgbColor rgb="FF993366"/>
      <rgbColor rgb="FFFCEFCF"/>
      <rgbColor rgb="FFEAF0FA"/>
      <rgbColor rgb="FF660066"/>
      <rgbColor rgb="FFFF8080"/>
      <rgbColor rgb="FF1D4ED8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B"/>
      <rgbColor rgb="FFD6F0E0"/>
      <rgbColor rgb="FFF4F7FC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742"/>
      <rgbColor rgb="FF339966"/>
      <rgbColor rgb="FF003300"/>
      <rgbColor rgb="FF1A1A1A"/>
      <rgbColor rgb="FFB11226"/>
      <rgbColor rgb="FF993366"/>
      <rgbColor rgb="FF3350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8" min="7" style="1" width="16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6" t="s">
        <v>4</v>
      </c>
      <c r="B6" s="6"/>
      <c r="C6" s="6" t="s">
        <v>5</v>
      </c>
      <c r="D6" s="6"/>
      <c r="E6" s="6" t="s">
        <v>6</v>
      </c>
      <c r="F6" s="6"/>
      <c r="G6" s="6" t="s">
        <v>7</v>
      </c>
      <c r="H6" s="6"/>
    </row>
    <row r="7" customFormat="false" ht="19.5" hidden="false" customHeight="true" outlineLevel="0" collapsed="false">
      <c r="A7" s="7" t="n">
        <f aca="false">COUNTA('Tabla Maestra'!A3:A40)</f>
        <v>31</v>
      </c>
      <c r="B7" s="7"/>
      <c r="C7" s="7" t="s">
        <v>8</v>
      </c>
      <c r="D7" s="7"/>
      <c r="E7" s="7" t="n">
        <f aca="false">COUNTIF('Tabla Maestra'!F2:F40,"*Astro 6*")</f>
        <v>8</v>
      </c>
      <c r="F7" s="7"/>
      <c r="G7" s="7" t="n">
        <f aca="false">COUNTIF('Tabla Maestra'!F2:F40,"*Astro 4*")+COUNTIF('Tabla Maestra'!F2:F40,"*Astro 5*")</f>
        <v>20</v>
      </c>
      <c r="H7" s="7"/>
    </row>
    <row r="8" customFormat="false" ht="15" hidden="false" customHeight="true" outlineLevel="0" collapsed="false">
      <c r="A8" s="6" t="s">
        <v>9</v>
      </c>
      <c r="B8" s="6"/>
      <c r="C8" s="6" t="s">
        <v>10</v>
      </c>
      <c r="D8" s="6"/>
      <c r="E8" s="6" t="s">
        <v>11</v>
      </c>
      <c r="F8" s="6"/>
      <c r="G8" s="6" t="s">
        <v>12</v>
      </c>
      <c r="H8" s="6"/>
    </row>
    <row r="9" customFormat="false" ht="19.5" hidden="false" customHeight="true" outlineLevel="0" collapsed="false">
      <c r="A9" s="7" t="n">
        <f aca="false">COUNTIF('Tabla Maestra'!F2:F40,"*estático*")+COUNTIF('Tabla Maestra'!F2:F40,"*no Astro*")</f>
        <v>3</v>
      </c>
      <c r="B9" s="7"/>
      <c r="C9" s="7" t="n">
        <f aca="false">COUNTIF('Tabla Maestra'!H2:H40,"P1")</f>
        <v>11</v>
      </c>
      <c r="D9" s="7"/>
      <c r="E9" s="7" t="n">
        <f aca="false">COUNTIF('Tabla Maestra'!N2:N40,"Falta")</f>
        <v>3</v>
      </c>
      <c r="F9" s="7"/>
      <c r="G9" s="7" t="n">
        <f aca="false">COUNTIF('Tabla Maestra'!K2:K40,"Homologar")+COUNTIF('Tabla Maestra'!K2:K40,"Reconstruir")</f>
        <v>23</v>
      </c>
      <c r="H9" s="7"/>
    </row>
    <row r="11" customFormat="false" ht="15" hidden="false" customHeight="true" outlineLevel="0" collapsed="false">
      <c r="A11" s="5" t="s">
        <v>13</v>
      </c>
      <c r="B11" s="5"/>
      <c r="C11" s="5"/>
      <c r="D11" s="5"/>
      <c r="E11" s="5"/>
      <c r="F11" s="5"/>
      <c r="G11" s="5"/>
      <c r="H11" s="5"/>
    </row>
    <row r="12" customFormat="false" ht="15" hidden="false" customHeight="true" outlineLevel="0" collapsed="false">
      <c r="A12" s="8" t="s">
        <v>14</v>
      </c>
      <c r="B12" s="8"/>
      <c r="C12" s="9" t="s">
        <v>15</v>
      </c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16</v>
      </c>
      <c r="B13" s="10"/>
      <c r="C13" s="9" t="s">
        <v>17</v>
      </c>
      <c r="D13" s="9"/>
      <c r="E13" s="9"/>
      <c r="F13" s="9"/>
      <c r="G13" s="9"/>
      <c r="H13" s="9"/>
    </row>
    <row r="14" customFormat="false" ht="15" hidden="false" customHeight="true" outlineLevel="0" collapsed="false">
      <c r="A14" s="11" t="s">
        <v>18</v>
      </c>
      <c r="B14" s="11"/>
      <c r="C14" s="9" t="s">
        <v>19</v>
      </c>
      <c r="D14" s="9"/>
      <c r="E14" s="9"/>
      <c r="F14" s="9"/>
      <c r="G14" s="9"/>
      <c r="H14" s="9"/>
    </row>
    <row r="15" customFormat="false" ht="15" hidden="false" customHeight="true" outlineLevel="0" collapsed="false">
      <c r="A15" s="12" t="s">
        <v>20</v>
      </c>
      <c r="B15" s="12"/>
      <c r="C15" s="9" t="s">
        <v>21</v>
      </c>
      <c r="D15" s="9"/>
      <c r="E15" s="9"/>
      <c r="F15" s="9"/>
      <c r="G15" s="9"/>
      <c r="H15" s="9"/>
    </row>
    <row r="17" customFormat="false" ht="15" hidden="false" customHeight="true" outlineLevel="0" collapsed="false">
      <c r="A17" s="5" t="s">
        <v>22</v>
      </c>
      <c r="B17" s="5"/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13" t="s">
        <v>23</v>
      </c>
      <c r="B18" s="13"/>
      <c r="C18" s="13"/>
      <c r="D18" s="13"/>
      <c r="E18" s="13"/>
      <c r="F18" s="13"/>
      <c r="G18" s="13"/>
      <c r="H18" s="13"/>
    </row>
    <row r="19" customFormat="false" ht="15" hidden="false" customHeight="true" outlineLevel="0" collapsed="false">
      <c r="A19" s="9" t="s">
        <v>24</v>
      </c>
      <c r="B19" s="9"/>
      <c r="C19" s="9"/>
      <c r="D19" s="9"/>
      <c r="E19" s="9"/>
      <c r="F19" s="9"/>
      <c r="G19" s="9"/>
      <c r="H19" s="9"/>
    </row>
    <row r="20" customFormat="false" ht="15" hidden="false" customHeight="true" outlineLevel="0" collapsed="false">
      <c r="A20" s="13" t="s">
        <v>25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true" outlineLevel="0" collapsed="false">
      <c r="A21" s="9" t="s">
        <v>26</v>
      </c>
      <c r="B21" s="9"/>
      <c r="C21" s="9"/>
      <c r="D21" s="9"/>
      <c r="E21" s="9"/>
      <c r="F21" s="9"/>
      <c r="G21" s="9"/>
      <c r="H21" s="9"/>
    </row>
    <row r="22" customFormat="false" ht="15" hidden="false" customHeight="true" outlineLevel="0" collapsed="false">
      <c r="A22" s="13" t="s">
        <v>27</v>
      </c>
      <c r="B22" s="13"/>
      <c r="C22" s="13"/>
      <c r="D22" s="13"/>
      <c r="E22" s="13"/>
      <c r="F22" s="13"/>
      <c r="G22" s="13"/>
      <c r="H22" s="13"/>
    </row>
  </sheetData>
  <mergeCells count="35">
    <mergeCell ref="A1:H1"/>
    <mergeCell ref="A2:H2"/>
    <mergeCell ref="A3:H3"/>
    <mergeCell ref="A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7:H17"/>
    <mergeCell ref="A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1" min="10" style="1" width="11"/>
    <col collapsed="false" customWidth="true" hidden="false" outlineLevel="0" max="12" min="12" style="1" width="10"/>
    <col collapsed="false" customWidth="true" hidden="false" outlineLevel="0" max="13" min="13" style="1" width="12"/>
    <col collapsed="false" customWidth="true" hidden="false" outlineLevel="0" max="15" min="14" style="1" width="8"/>
    <col collapsed="false" customWidth="true" hidden="false" outlineLevel="0" max="16" min="16" style="1" width="11"/>
    <col collapsed="false" customWidth="true" hidden="false" outlineLevel="0" max="17" min="17" style="1" width="12"/>
    <col collapsed="false" customWidth="true" hidden="false" outlineLevel="0" max="20" min="18" style="1" width="6"/>
    <col collapsed="false" customWidth="true" hidden="false" outlineLevel="0" max="21" min="21" style="1" width="8"/>
    <col collapsed="false" customWidth="true" hidden="false" outlineLevel="0" max="22" min="22" style="1" width="34"/>
    <col collapsed="false" customWidth="true" hidden="false" outlineLevel="0" max="23" min="23" style="1" width="40"/>
  </cols>
  <sheetData>
    <row r="1" customFormat="false" ht="21.75" hidden="false" customHeight="true" outlineLevel="0" collapsed="false">
      <c r="A1" s="14" t="s">
        <v>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customFormat="false" ht="34.5" hidden="false" customHeight="true" outlineLevel="0" collapsed="false">
      <c r="A2" s="15" t="s">
        <v>29</v>
      </c>
      <c r="B2" s="15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  <c r="H2" s="15" t="s">
        <v>36</v>
      </c>
      <c r="I2" s="15" t="s">
        <v>37</v>
      </c>
      <c r="J2" s="15" t="s">
        <v>38</v>
      </c>
      <c r="K2" s="15" t="s">
        <v>39</v>
      </c>
      <c r="L2" s="15" t="s">
        <v>40</v>
      </c>
      <c r="M2" s="15" t="s">
        <v>41</v>
      </c>
      <c r="N2" s="15" t="s">
        <v>42</v>
      </c>
      <c r="O2" s="15" t="s">
        <v>43</v>
      </c>
      <c r="P2" s="15" t="s">
        <v>44</v>
      </c>
      <c r="Q2" s="15" t="s">
        <v>45</v>
      </c>
      <c r="R2" s="15" t="s">
        <v>46</v>
      </c>
      <c r="S2" s="15" t="s">
        <v>47</v>
      </c>
      <c r="T2" s="15" t="s">
        <v>48</v>
      </c>
      <c r="U2" s="15" t="s">
        <v>49</v>
      </c>
      <c r="V2" s="15" t="s">
        <v>50</v>
      </c>
      <c r="W2" s="15" t="s">
        <v>51</v>
      </c>
    </row>
    <row r="3" customFormat="false" ht="30" hidden="false" customHeight="true" outlineLevel="0" collapsed="false">
      <c r="A3" s="16" t="n">
        <v>1</v>
      </c>
      <c r="B3" s="17" t="s">
        <v>52</v>
      </c>
      <c r="C3" s="17" t="s">
        <v>53</v>
      </c>
      <c r="D3" s="17" t="s">
        <v>54</v>
      </c>
      <c r="E3" s="17" t="s">
        <v>55</v>
      </c>
      <c r="F3" s="17" t="s">
        <v>56</v>
      </c>
      <c r="G3" s="16" t="s">
        <v>57</v>
      </c>
      <c r="H3" s="18" t="s">
        <v>58</v>
      </c>
      <c r="I3" s="11" t="s">
        <v>59</v>
      </c>
      <c r="J3" s="11" t="s">
        <v>60</v>
      </c>
      <c r="K3" s="11" t="s">
        <v>60</v>
      </c>
      <c r="L3" s="11" t="s">
        <v>59</v>
      </c>
      <c r="M3" s="19" t="s">
        <v>61</v>
      </c>
      <c r="N3" s="11" t="s">
        <v>59</v>
      </c>
      <c r="O3" s="11" t="s">
        <v>59</v>
      </c>
      <c r="P3" s="10" t="s">
        <v>62</v>
      </c>
      <c r="Q3" s="12" t="s">
        <v>63</v>
      </c>
      <c r="R3" s="16" t="n">
        <v>0</v>
      </c>
      <c r="S3" s="16" t="n">
        <v>0</v>
      </c>
      <c r="T3" s="16" t="n">
        <v>0</v>
      </c>
      <c r="U3" s="16" t="n">
        <v>0</v>
      </c>
      <c r="V3" s="20" t="s">
        <v>64</v>
      </c>
      <c r="W3" s="20" t="s">
        <v>65</v>
      </c>
    </row>
    <row r="4" customFormat="false" ht="30" hidden="false" customHeight="true" outlineLevel="0" collapsed="false">
      <c r="A4" s="16" t="n">
        <v>2</v>
      </c>
      <c r="B4" s="17" t="s">
        <v>66</v>
      </c>
      <c r="C4" s="17" t="s">
        <v>67</v>
      </c>
      <c r="D4" s="17" t="s">
        <v>68</v>
      </c>
      <c r="E4" s="17" t="s">
        <v>69</v>
      </c>
      <c r="F4" s="17" t="s">
        <v>70</v>
      </c>
      <c r="G4" s="16" t="s">
        <v>57</v>
      </c>
      <c r="H4" s="18" t="s">
        <v>58</v>
      </c>
      <c r="I4" s="8" t="s">
        <v>14</v>
      </c>
      <c r="J4" s="8" t="s">
        <v>14</v>
      </c>
      <c r="K4" s="10" t="s">
        <v>71</v>
      </c>
      <c r="L4" s="10" t="s">
        <v>62</v>
      </c>
      <c r="M4" s="12" t="s">
        <v>61</v>
      </c>
      <c r="N4" s="8" t="s">
        <v>14</v>
      </c>
      <c r="O4" s="8" t="s">
        <v>14</v>
      </c>
      <c r="P4" s="8" t="s">
        <v>14</v>
      </c>
      <c r="Q4" s="12" t="s">
        <v>72</v>
      </c>
      <c r="R4" s="16" t="n">
        <v>77</v>
      </c>
      <c r="S4" s="16" t="n">
        <v>52</v>
      </c>
      <c r="T4" s="16" t="n">
        <v>395</v>
      </c>
      <c r="U4" s="21" t="n">
        <v>13</v>
      </c>
      <c r="V4" s="21" t="s">
        <v>73</v>
      </c>
      <c r="W4" s="21" t="s">
        <v>74</v>
      </c>
    </row>
    <row r="5" customFormat="false" ht="30" hidden="false" customHeight="true" outlineLevel="0" collapsed="false">
      <c r="A5" s="16" t="n">
        <v>3</v>
      </c>
      <c r="B5" s="17" t="s">
        <v>75</v>
      </c>
      <c r="C5" s="17" t="s">
        <v>76</v>
      </c>
      <c r="D5" s="17" t="s">
        <v>77</v>
      </c>
      <c r="E5" s="17" t="s">
        <v>78</v>
      </c>
      <c r="F5" s="17" t="s">
        <v>79</v>
      </c>
      <c r="G5" s="16" t="s">
        <v>80</v>
      </c>
      <c r="H5" s="18" t="s">
        <v>58</v>
      </c>
      <c r="I5" s="8" t="s">
        <v>14</v>
      </c>
      <c r="J5" s="10" t="s">
        <v>62</v>
      </c>
      <c r="K5" s="10" t="s">
        <v>71</v>
      </c>
      <c r="L5" s="8" t="s">
        <v>14</v>
      </c>
      <c r="M5" s="19" t="s">
        <v>61</v>
      </c>
      <c r="N5" s="8" t="s">
        <v>14</v>
      </c>
      <c r="O5" s="10" t="s">
        <v>62</v>
      </c>
      <c r="P5" s="8" t="s">
        <v>14</v>
      </c>
      <c r="Q5" s="12" t="s">
        <v>63</v>
      </c>
      <c r="R5" s="16" t="n">
        <v>10</v>
      </c>
      <c r="S5" s="16" t="n">
        <v>3</v>
      </c>
      <c r="T5" s="16" t="n">
        <v>201</v>
      </c>
      <c r="U5" s="16" t="n">
        <v>0</v>
      </c>
      <c r="V5" s="20" t="s">
        <v>81</v>
      </c>
      <c r="W5" s="20" t="s">
        <v>82</v>
      </c>
    </row>
    <row r="6" customFormat="false" ht="30" hidden="false" customHeight="true" outlineLevel="0" collapsed="false">
      <c r="A6" s="16" t="n">
        <v>4</v>
      </c>
      <c r="B6" s="17" t="s">
        <v>83</v>
      </c>
      <c r="C6" s="17" t="s">
        <v>84</v>
      </c>
      <c r="D6" s="17" t="s">
        <v>85</v>
      </c>
      <c r="E6" s="17" t="s">
        <v>55</v>
      </c>
      <c r="F6" s="17" t="s">
        <v>56</v>
      </c>
      <c r="G6" s="16" t="s">
        <v>80</v>
      </c>
      <c r="H6" s="18" t="s">
        <v>58</v>
      </c>
      <c r="I6" s="11" t="s">
        <v>59</v>
      </c>
      <c r="J6" s="11" t="s">
        <v>60</v>
      </c>
      <c r="K6" s="11" t="s">
        <v>60</v>
      </c>
      <c r="L6" s="8" t="s">
        <v>14</v>
      </c>
      <c r="M6" s="19" t="s">
        <v>61</v>
      </c>
      <c r="N6" s="11" t="s">
        <v>59</v>
      </c>
      <c r="O6" s="11" t="s">
        <v>59</v>
      </c>
      <c r="P6" s="10" t="s">
        <v>62</v>
      </c>
      <c r="Q6" s="12" t="s">
        <v>63</v>
      </c>
      <c r="R6" s="16" t="n">
        <v>0</v>
      </c>
      <c r="S6" s="16" t="n">
        <v>0</v>
      </c>
      <c r="T6" s="16" t="n">
        <v>360</v>
      </c>
      <c r="U6" s="16" t="n">
        <v>0</v>
      </c>
      <c r="V6" s="20" t="s">
        <v>86</v>
      </c>
      <c r="W6" s="20" t="s">
        <v>65</v>
      </c>
    </row>
    <row r="7" customFormat="false" ht="30" hidden="false" customHeight="true" outlineLevel="0" collapsed="false">
      <c r="A7" s="16" t="n">
        <v>5</v>
      </c>
      <c r="B7" s="17" t="s">
        <v>87</v>
      </c>
      <c r="C7" s="17" t="s">
        <v>88</v>
      </c>
      <c r="D7" s="17" t="s">
        <v>68</v>
      </c>
      <c r="E7" s="17" t="s">
        <v>69</v>
      </c>
      <c r="F7" s="17" t="s">
        <v>89</v>
      </c>
      <c r="G7" s="16" t="s">
        <v>57</v>
      </c>
      <c r="H7" s="18" t="s">
        <v>58</v>
      </c>
      <c r="I7" s="8" t="s">
        <v>14</v>
      </c>
      <c r="J7" s="8" t="s">
        <v>14</v>
      </c>
      <c r="K7" s="8" t="s">
        <v>14</v>
      </c>
      <c r="L7" s="10" t="s">
        <v>62</v>
      </c>
      <c r="M7" s="12" t="s">
        <v>61</v>
      </c>
      <c r="N7" s="8" t="s">
        <v>14</v>
      </c>
      <c r="O7" s="8" t="s">
        <v>14</v>
      </c>
      <c r="P7" s="8" t="s">
        <v>14</v>
      </c>
      <c r="Q7" s="12" t="s">
        <v>72</v>
      </c>
      <c r="R7" s="16" t="n">
        <v>242</v>
      </c>
      <c r="S7" s="16" t="n">
        <v>94</v>
      </c>
      <c r="T7" s="16" t="n">
        <v>1935</v>
      </c>
      <c r="U7" s="21" t="n">
        <v>234</v>
      </c>
      <c r="V7" s="21" t="s">
        <v>90</v>
      </c>
      <c r="W7" s="21" t="s">
        <v>74</v>
      </c>
    </row>
    <row r="8" customFormat="false" ht="30" hidden="false" customHeight="true" outlineLevel="0" collapsed="false">
      <c r="A8" s="16" t="n">
        <v>6</v>
      </c>
      <c r="B8" s="17" t="s">
        <v>91</v>
      </c>
      <c r="C8" s="17" t="s">
        <v>92</v>
      </c>
      <c r="D8" s="17" t="s">
        <v>68</v>
      </c>
      <c r="E8" s="17" t="s">
        <v>69</v>
      </c>
      <c r="F8" s="17" t="s">
        <v>79</v>
      </c>
      <c r="G8" s="16" t="s">
        <v>57</v>
      </c>
      <c r="H8" s="18" t="s">
        <v>58</v>
      </c>
      <c r="I8" s="8" t="s">
        <v>14</v>
      </c>
      <c r="J8" s="8" t="s">
        <v>14</v>
      </c>
      <c r="K8" s="10" t="s">
        <v>71</v>
      </c>
      <c r="L8" s="8" t="s">
        <v>14</v>
      </c>
      <c r="M8" s="12" t="s">
        <v>61</v>
      </c>
      <c r="N8" s="8" t="s">
        <v>14</v>
      </c>
      <c r="O8" s="8" t="s">
        <v>14</v>
      </c>
      <c r="P8" s="8" t="s">
        <v>14</v>
      </c>
      <c r="Q8" s="12" t="s">
        <v>72</v>
      </c>
      <c r="R8" s="16" t="n">
        <v>25</v>
      </c>
      <c r="S8" s="16" t="n">
        <v>133</v>
      </c>
      <c r="T8" s="16" t="n">
        <v>1502</v>
      </c>
      <c r="U8" s="21" t="n">
        <v>0</v>
      </c>
      <c r="V8" s="21" t="s">
        <v>93</v>
      </c>
      <c r="W8" s="21" t="s">
        <v>94</v>
      </c>
    </row>
    <row r="9" customFormat="false" ht="30" hidden="false" customHeight="true" outlineLevel="0" collapsed="false">
      <c r="A9" s="16" t="n">
        <v>7</v>
      </c>
      <c r="B9" s="17" t="s">
        <v>95</v>
      </c>
      <c r="C9" s="17" t="s">
        <v>96</v>
      </c>
      <c r="D9" s="17" t="s">
        <v>97</v>
      </c>
      <c r="E9" s="17" t="s">
        <v>69</v>
      </c>
      <c r="F9" s="17" t="s">
        <v>98</v>
      </c>
      <c r="G9" s="16" t="s">
        <v>99</v>
      </c>
      <c r="H9" s="18" t="s">
        <v>58</v>
      </c>
      <c r="I9" s="10" t="s">
        <v>62</v>
      </c>
      <c r="J9" s="8" t="s">
        <v>14</v>
      </c>
      <c r="K9" s="8" t="s">
        <v>14</v>
      </c>
      <c r="L9" s="10" t="s">
        <v>62</v>
      </c>
      <c r="M9" s="19" t="s">
        <v>61</v>
      </c>
      <c r="N9" s="8" t="s">
        <v>14</v>
      </c>
      <c r="O9" s="10" t="s">
        <v>62</v>
      </c>
      <c r="P9" s="8" t="s">
        <v>14</v>
      </c>
      <c r="Q9" s="12" t="s">
        <v>63</v>
      </c>
      <c r="R9" s="16" t="n">
        <v>20</v>
      </c>
      <c r="S9" s="16" t="n">
        <v>19</v>
      </c>
      <c r="T9" s="16" t="n">
        <v>13</v>
      </c>
      <c r="U9" s="16" t="n">
        <v>1</v>
      </c>
      <c r="V9" s="20" t="s">
        <v>100</v>
      </c>
      <c r="W9" s="20" t="s">
        <v>82</v>
      </c>
    </row>
    <row r="10" customFormat="false" ht="30" hidden="false" customHeight="true" outlineLevel="0" collapsed="false">
      <c r="A10" s="16" t="n">
        <v>8</v>
      </c>
      <c r="B10" s="17" t="s">
        <v>101</v>
      </c>
      <c r="C10" s="17" t="s">
        <v>102</v>
      </c>
      <c r="D10" s="17" t="s">
        <v>68</v>
      </c>
      <c r="E10" s="17" t="s">
        <v>69</v>
      </c>
      <c r="F10" s="17" t="s">
        <v>79</v>
      </c>
      <c r="G10" s="16" t="s">
        <v>57</v>
      </c>
      <c r="H10" s="18" t="s">
        <v>58</v>
      </c>
      <c r="I10" s="8" t="s">
        <v>14</v>
      </c>
      <c r="J10" s="10" t="s">
        <v>62</v>
      </c>
      <c r="K10" s="10" t="s">
        <v>71</v>
      </c>
      <c r="L10" s="8" t="s">
        <v>14</v>
      </c>
      <c r="M10" s="12" t="s">
        <v>61</v>
      </c>
      <c r="N10" s="8" t="s">
        <v>14</v>
      </c>
      <c r="O10" s="11" t="s">
        <v>59</v>
      </c>
      <c r="P10" s="8" t="s">
        <v>14</v>
      </c>
      <c r="Q10" s="12" t="s">
        <v>72</v>
      </c>
      <c r="R10" s="16" t="n">
        <v>128</v>
      </c>
      <c r="S10" s="16" t="n">
        <v>0</v>
      </c>
      <c r="T10" s="16" t="n">
        <v>884</v>
      </c>
      <c r="U10" s="21" t="n">
        <v>2</v>
      </c>
      <c r="V10" s="21" t="s">
        <v>103</v>
      </c>
      <c r="W10" s="21" t="s">
        <v>94</v>
      </c>
    </row>
    <row r="11" customFormat="false" ht="30" hidden="false" customHeight="true" outlineLevel="0" collapsed="false">
      <c r="A11" s="16" t="n">
        <v>9</v>
      </c>
      <c r="B11" s="17" t="s">
        <v>104</v>
      </c>
      <c r="C11" s="17" t="s">
        <v>105</v>
      </c>
      <c r="D11" s="17" t="s">
        <v>106</v>
      </c>
      <c r="E11" s="17" t="s">
        <v>69</v>
      </c>
      <c r="F11" s="17" t="s">
        <v>107</v>
      </c>
      <c r="G11" s="16" t="s">
        <v>57</v>
      </c>
      <c r="H11" s="18" t="s">
        <v>58</v>
      </c>
      <c r="I11" s="8" t="s">
        <v>14</v>
      </c>
      <c r="J11" s="8" t="s">
        <v>14</v>
      </c>
      <c r="K11" s="10" t="s">
        <v>71</v>
      </c>
      <c r="L11" s="10" t="s">
        <v>62</v>
      </c>
      <c r="M11" s="12" t="s">
        <v>61</v>
      </c>
      <c r="N11" s="8" t="s">
        <v>14</v>
      </c>
      <c r="O11" s="8" t="s">
        <v>14</v>
      </c>
      <c r="P11" s="8" t="s">
        <v>14</v>
      </c>
      <c r="Q11" s="12" t="s">
        <v>72</v>
      </c>
      <c r="R11" s="16" t="n">
        <v>39</v>
      </c>
      <c r="S11" s="16" t="n">
        <v>129</v>
      </c>
      <c r="T11" s="16" t="n">
        <v>236</v>
      </c>
      <c r="U11" s="21" t="n">
        <v>32</v>
      </c>
      <c r="V11" s="21" t="s">
        <v>108</v>
      </c>
      <c r="W11" s="21" t="s">
        <v>74</v>
      </c>
    </row>
    <row r="12" customFormat="false" ht="30" hidden="false" customHeight="true" outlineLevel="0" collapsed="false">
      <c r="A12" s="16" t="n">
        <v>10</v>
      </c>
      <c r="B12" s="17" t="s">
        <v>109</v>
      </c>
      <c r="C12" s="17" t="s">
        <v>110</v>
      </c>
      <c r="D12" s="17" t="s">
        <v>111</v>
      </c>
      <c r="E12" s="17" t="s">
        <v>55</v>
      </c>
      <c r="F12" s="17" t="s">
        <v>56</v>
      </c>
      <c r="G12" s="16" t="s">
        <v>57</v>
      </c>
      <c r="H12" s="18" t="s">
        <v>58</v>
      </c>
      <c r="I12" s="11" t="s">
        <v>59</v>
      </c>
      <c r="J12" s="11" t="s">
        <v>60</v>
      </c>
      <c r="K12" s="11" t="s">
        <v>60</v>
      </c>
      <c r="L12" s="11" t="s">
        <v>59</v>
      </c>
      <c r="M12" s="19" t="s">
        <v>61</v>
      </c>
      <c r="N12" s="11" t="s">
        <v>59</v>
      </c>
      <c r="O12" s="11" t="s">
        <v>59</v>
      </c>
      <c r="P12" s="10" t="s">
        <v>62</v>
      </c>
      <c r="Q12" s="12" t="s">
        <v>63</v>
      </c>
      <c r="R12" s="16" t="n">
        <v>0</v>
      </c>
      <c r="S12" s="16" t="n">
        <v>0</v>
      </c>
      <c r="T12" s="16" t="n">
        <v>0</v>
      </c>
      <c r="U12" s="16" t="n">
        <v>0</v>
      </c>
      <c r="V12" s="20" t="s">
        <v>64</v>
      </c>
      <c r="W12" s="20" t="s">
        <v>65</v>
      </c>
    </row>
    <row r="13" customFormat="false" ht="30" hidden="false" customHeight="true" outlineLevel="0" collapsed="false">
      <c r="A13" s="16" t="n">
        <v>11</v>
      </c>
      <c r="B13" s="17" t="s">
        <v>112</v>
      </c>
      <c r="C13" s="17" t="s">
        <v>96</v>
      </c>
      <c r="D13" s="17" t="s">
        <v>97</v>
      </c>
      <c r="E13" s="17" t="s">
        <v>69</v>
      </c>
      <c r="F13" s="17" t="s">
        <v>98</v>
      </c>
      <c r="G13" s="16" t="s">
        <v>80</v>
      </c>
      <c r="H13" s="18" t="s">
        <v>58</v>
      </c>
      <c r="I13" s="10" t="s">
        <v>62</v>
      </c>
      <c r="J13" s="8" t="s">
        <v>14</v>
      </c>
      <c r="K13" s="8" t="s">
        <v>14</v>
      </c>
      <c r="L13" s="10" t="s">
        <v>62</v>
      </c>
      <c r="M13" s="19" t="s">
        <v>61</v>
      </c>
      <c r="N13" s="8" t="s">
        <v>14</v>
      </c>
      <c r="O13" s="8" t="s">
        <v>14</v>
      </c>
      <c r="P13" s="8" t="s">
        <v>14</v>
      </c>
      <c r="Q13" s="12" t="s">
        <v>63</v>
      </c>
      <c r="R13" s="16" t="n">
        <v>20</v>
      </c>
      <c r="S13" s="16" t="n">
        <v>20</v>
      </c>
      <c r="T13" s="16" t="n">
        <v>13</v>
      </c>
      <c r="U13" s="16" t="n">
        <v>1</v>
      </c>
      <c r="V13" s="20" t="s">
        <v>113</v>
      </c>
      <c r="W13" s="20" t="s">
        <v>82</v>
      </c>
    </row>
    <row r="14" customFormat="false" ht="30" hidden="false" customHeight="true" outlineLevel="0" collapsed="false">
      <c r="A14" s="16" t="n">
        <v>12</v>
      </c>
      <c r="B14" s="17" t="s">
        <v>114</v>
      </c>
      <c r="C14" s="17" t="s">
        <v>115</v>
      </c>
      <c r="D14" s="17" t="s">
        <v>106</v>
      </c>
      <c r="E14" s="17" t="s">
        <v>69</v>
      </c>
      <c r="F14" s="17" t="s">
        <v>107</v>
      </c>
      <c r="G14" s="16" t="s">
        <v>57</v>
      </c>
      <c r="H14" s="22" t="s">
        <v>116</v>
      </c>
      <c r="I14" s="8" t="s">
        <v>14</v>
      </c>
      <c r="J14" s="10" t="s">
        <v>62</v>
      </c>
      <c r="K14" s="8" t="s">
        <v>14</v>
      </c>
      <c r="L14" s="8" t="s">
        <v>14</v>
      </c>
      <c r="M14" s="19" t="s">
        <v>61</v>
      </c>
      <c r="N14" s="8" t="s">
        <v>14</v>
      </c>
      <c r="O14" s="11" t="s">
        <v>59</v>
      </c>
      <c r="P14" s="8" t="s">
        <v>14</v>
      </c>
      <c r="Q14" s="12" t="s">
        <v>63</v>
      </c>
      <c r="R14" s="16" t="n">
        <v>183</v>
      </c>
      <c r="S14" s="16" t="n">
        <v>0</v>
      </c>
      <c r="T14" s="16" t="n">
        <v>987</v>
      </c>
      <c r="U14" s="16" t="n">
        <v>0</v>
      </c>
      <c r="V14" s="20" t="s">
        <v>117</v>
      </c>
      <c r="W14" s="20" t="s">
        <v>118</v>
      </c>
    </row>
    <row r="15" customFormat="false" ht="30" hidden="false" customHeight="true" outlineLevel="0" collapsed="false">
      <c r="A15" s="16" t="n">
        <v>13</v>
      </c>
      <c r="B15" s="17" t="s">
        <v>119</v>
      </c>
      <c r="C15" s="17" t="s">
        <v>120</v>
      </c>
      <c r="D15" s="17" t="s">
        <v>121</v>
      </c>
      <c r="E15" s="17" t="s">
        <v>69</v>
      </c>
      <c r="F15" s="17" t="s">
        <v>89</v>
      </c>
      <c r="G15" s="16" t="s">
        <v>57</v>
      </c>
      <c r="H15" s="22" t="s">
        <v>116</v>
      </c>
      <c r="I15" s="8" t="s">
        <v>14</v>
      </c>
      <c r="J15" s="10" t="s">
        <v>62</v>
      </c>
      <c r="K15" s="10" t="s">
        <v>71</v>
      </c>
      <c r="L15" s="10" t="s">
        <v>62</v>
      </c>
      <c r="M15" s="19" t="s">
        <v>61</v>
      </c>
      <c r="N15" s="8" t="s">
        <v>14</v>
      </c>
      <c r="O15" s="10" t="s">
        <v>62</v>
      </c>
      <c r="P15" s="8" t="s">
        <v>14</v>
      </c>
      <c r="Q15" s="12" t="s">
        <v>63</v>
      </c>
      <c r="R15" s="16" t="n">
        <v>10</v>
      </c>
      <c r="S15" s="16" t="n">
        <v>1</v>
      </c>
      <c r="T15" s="16" t="n">
        <v>12</v>
      </c>
      <c r="U15" s="16" t="n">
        <v>0</v>
      </c>
      <c r="V15" s="20" t="s">
        <v>122</v>
      </c>
      <c r="W15" s="20" t="s">
        <v>74</v>
      </c>
    </row>
    <row r="16" customFormat="false" ht="30" hidden="false" customHeight="true" outlineLevel="0" collapsed="false">
      <c r="A16" s="16" t="n">
        <v>14</v>
      </c>
      <c r="B16" s="17" t="s">
        <v>123</v>
      </c>
      <c r="C16" s="17" t="s">
        <v>124</v>
      </c>
      <c r="D16" s="17" t="s">
        <v>125</v>
      </c>
      <c r="E16" s="17" t="s">
        <v>69</v>
      </c>
      <c r="F16" s="17" t="s">
        <v>98</v>
      </c>
      <c r="G16" s="16" t="s">
        <v>57</v>
      </c>
      <c r="H16" s="22" t="s">
        <v>116</v>
      </c>
      <c r="I16" s="8" t="s">
        <v>14</v>
      </c>
      <c r="J16" s="10" t="s">
        <v>62</v>
      </c>
      <c r="K16" s="10" t="s">
        <v>71</v>
      </c>
      <c r="L16" s="10" t="s">
        <v>62</v>
      </c>
      <c r="M16" s="19" t="s">
        <v>61</v>
      </c>
      <c r="N16" s="8" t="s">
        <v>14</v>
      </c>
      <c r="O16" s="10" t="s">
        <v>62</v>
      </c>
      <c r="P16" s="8" t="s">
        <v>14</v>
      </c>
      <c r="Q16" s="12" t="s">
        <v>63</v>
      </c>
      <c r="R16" s="16" t="n">
        <v>16</v>
      </c>
      <c r="S16" s="16" t="n">
        <v>3</v>
      </c>
      <c r="T16" s="16" t="n">
        <v>10</v>
      </c>
      <c r="U16" s="16" t="n">
        <v>0</v>
      </c>
      <c r="V16" s="20" t="s">
        <v>126</v>
      </c>
      <c r="W16" s="20" t="s">
        <v>74</v>
      </c>
    </row>
    <row r="17" customFormat="false" ht="30" hidden="false" customHeight="true" outlineLevel="0" collapsed="false">
      <c r="A17" s="16" t="n">
        <v>15</v>
      </c>
      <c r="B17" s="17" t="s">
        <v>127</v>
      </c>
      <c r="C17" s="17" t="s">
        <v>128</v>
      </c>
      <c r="D17" s="17" t="s">
        <v>106</v>
      </c>
      <c r="E17" s="17" t="s">
        <v>69</v>
      </c>
      <c r="F17" s="17" t="s">
        <v>129</v>
      </c>
      <c r="G17" s="16" t="s">
        <v>57</v>
      </c>
      <c r="H17" s="22" t="s">
        <v>116</v>
      </c>
      <c r="I17" s="8" t="s">
        <v>14</v>
      </c>
      <c r="J17" s="10" t="s">
        <v>62</v>
      </c>
      <c r="K17" s="10" t="s">
        <v>71</v>
      </c>
      <c r="L17" s="10" t="s">
        <v>62</v>
      </c>
      <c r="M17" s="19" t="s">
        <v>61</v>
      </c>
      <c r="N17" s="8" t="s">
        <v>14</v>
      </c>
      <c r="O17" s="8" t="s">
        <v>14</v>
      </c>
      <c r="P17" s="8" t="s">
        <v>14</v>
      </c>
      <c r="Q17" s="12" t="s">
        <v>63</v>
      </c>
      <c r="R17" s="16" t="n">
        <v>16</v>
      </c>
      <c r="S17" s="16" t="n">
        <v>100</v>
      </c>
      <c r="T17" s="16" t="n">
        <v>13</v>
      </c>
      <c r="U17" s="16" t="n">
        <v>0</v>
      </c>
      <c r="V17" s="20" t="s">
        <v>130</v>
      </c>
      <c r="W17" s="20" t="s">
        <v>74</v>
      </c>
    </row>
    <row r="18" customFormat="false" ht="30" hidden="false" customHeight="true" outlineLevel="0" collapsed="false">
      <c r="A18" s="16" t="n">
        <v>16</v>
      </c>
      <c r="B18" s="17" t="s">
        <v>131</v>
      </c>
      <c r="C18" s="17" t="s">
        <v>132</v>
      </c>
      <c r="D18" s="17" t="s">
        <v>106</v>
      </c>
      <c r="E18" s="17" t="s">
        <v>69</v>
      </c>
      <c r="F18" s="17" t="s">
        <v>98</v>
      </c>
      <c r="G18" s="16" t="s">
        <v>57</v>
      </c>
      <c r="H18" s="22" t="s">
        <v>116</v>
      </c>
      <c r="I18" s="8" t="s">
        <v>14</v>
      </c>
      <c r="J18" s="8" t="s">
        <v>14</v>
      </c>
      <c r="K18" s="10" t="s">
        <v>71</v>
      </c>
      <c r="L18" s="8" t="s">
        <v>14</v>
      </c>
      <c r="M18" s="19" t="s">
        <v>61</v>
      </c>
      <c r="N18" s="8" t="s">
        <v>14</v>
      </c>
      <c r="O18" s="8" t="s">
        <v>14</v>
      </c>
      <c r="P18" s="8" t="s">
        <v>14</v>
      </c>
      <c r="Q18" s="12" t="s">
        <v>63</v>
      </c>
      <c r="R18" s="16" t="n">
        <v>59</v>
      </c>
      <c r="S18" s="16" t="n">
        <v>46</v>
      </c>
      <c r="T18" s="16" t="n">
        <v>162</v>
      </c>
      <c r="U18" s="16" t="n">
        <v>0</v>
      </c>
      <c r="V18" s="20" t="s">
        <v>126</v>
      </c>
      <c r="W18" s="20" t="s">
        <v>74</v>
      </c>
    </row>
    <row r="19" customFormat="false" ht="30" hidden="false" customHeight="true" outlineLevel="0" collapsed="false">
      <c r="A19" s="16" t="n">
        <v>17</v>
      </c>
      <c r="B19" s="17" t="s">
        <v>133</v>
      </c>
      <c r="C19" s="17" t="s">
        <v>134</v>
      </c>
      <c r="D19" s="17" t="s">
        <v>106</v>
      </c>
      <c r="E19" s="17" t="s">
        <v>69</v>
      </c>
      <c r="F19" s="17" t="s">
        <v>135</v>
      </c>
      <c r="G19" s="16" t="s">
        <v>57</v>
      </c>
      <c r="H19" s="22" t="s">
        <v>116</v>
      </c>
      <c r="I19" s="8" t="s">
        <v>14</v>
      </c>
      <c r="J19" s="8" t="s">
        <v>14</v>
      </c>
      <c r="K19" s="8" t="s">
        <v>14</v>
      </c>
      <c r="L19" s="8" t="s">
        <v>14</v>
      </c>
      <c r="M19" s="19" t="s">
        <v>61</v>
      </c>
      <c r="N19" s="8" t="s">
        <v>14</v>
      </c>
      <c r="O19" s="10" t="s">
        <v>62</v>
      </c>
      <c r="P19" s="8" t="s">
        <v>14</v>
      </c>
      <c r="Q19" s="12" t="s">
        <v>63</v>
      </c>
      <c r="R19" s="16" t="n">
        <v>24</v>
      </c>
      <c r="S19" s="16" t="n">
        <v>13</v>
      </c>
      <c r="T19" s="16" t="n">
        <v>35</v>
      </c>
      <c r="U19" s="16" t="n">
        <v>0</v>
      </c>
      <c r="V19" s="20" t="s">
        <v>135</v>
      </c>
      <c r="W19" s="20" t="s">
        <v>94</v>
      </c>
    </row>
    <row r="20" customFormat="false" ht="30" hidden="false" customHeight="true" outlineLevel="0" collapsed="false">
      <c r="A20" s="16" t="n">
        <v>18</v>
      </c>
      <c r="B20" s="17" t="s">
        <v>136</v>
      </c>
      <c r="C20" s="17" t="s">
        <v>137</v>
      </c>
      <c r="D20" s="17" t="s">
        <v>106</v>
      </c>
      <c r="E20" s="17" t="s">
        <v>69</v>
      </c>
      <c r="F20" s="17" t="s">
        <v>138</v>
      </c>
      <c r="G20" s="16" t="s">
        <v>57</v>
      </c>
      <c r="H20" s="22" t="s">
        <v>116</v>
      </c>
      <c r="I20" s="8" t="s">
        <v>14</v>
      </c>
      <c r="J20" s="8" t="s">
        <v>14</v>
      </c>
      <c r="K20" s="10" t="s">
        <v>71</v>
      </c>
      <c r="L20" s="8" t="s">
        <v>14</v>
      </c>
      <c r="M20" s="19" t="s">
        <v>61</v>
      </c>
      <c r="N20" s="8" t="s">
        <v>14</v>
      </c>
      <c r="O20" s="8" t="s">
        <v>14</v>
      </c>
      <c r="P20" s="8" t="s">
        <v>14</v>
      </c>
      <c r="Q20" s="12" t="s">
        <v>63</v>
      </c>
      <c r="R20" s="16" t="n">
        <v>37</v>
      </c>
      <c r="S20" s="16" t="n">
        <v>84</v>
      </c>
      <c r="T20" s="16" t="n">
        <v>1625</v>
      </c>
      <c r="U20" s="16" t="n">
        <v>0</v>
      </c>
      <c r="V20" s="20" t="s">
        <v>139</v>
      </c>
      <c r="W20" s="20" t="s">
        <v>74</v>
      </c>
    </row>
    <row r="21" customFormat="false" ht="30" hidden="false" customHeight="true" outlineLevel="0" collapsed="false">
      <c r="A21" s="16" t="n">
        <v>19</v>
      </c>
      <c r="B21" s="17" t="s">
        <v>140</v>
      </c>
      <c r="C21" s="17" t="s">
        <v>141</v>
      </c>
      <c r="D21" s="17" t="s">
        <v>142</v>
      </c>
      <c r="E21" s="17" t="s">
        <v>143</v>
      </c>
      <c r="F21" s="17" t="s">
        <v>79</v>
      </c>
      <c r="G21" s="16" t="s">
        <v>57</v>
      </c>
      <c r="H21" s="22" t="s">
        <v>116</v>
      </c>
      <c r="I21" s="8" t="s">
        <v>14</v>
      </c>
      <c r="J21" s="8" t="s">
        <v>14</v>
      </c>
      <c r="K21" s="10" t="s">
        <v>71</v>
      </c>
      <c r="L21" s="8" t="s">
        <v>14</v>
      </c>
      <c r="M21" s="19" t="s">
        <v>61</v>
      </c>
      <c r="N21" s="8" t="s">
        <v>14</v>
      </c>
      <c r="O21" s="8" t="s">
        <v>14</v>
      </c>
      <c r="P21" s="8" t="s">
        <v>14</v>
      </c>
      <c r="Q21" s="12" t="s">
        <v>63</v>
      </c>
      <c r="R21" s="16" t="n">
        <v>21</v>
      </c>
      <c r="S21" s="16" t="n">
        <v>45</v>
      </c>
      <c r="T21" s="16" t="n">
        <v>56</v>
      </c>
      <c r="U21" s="16" t="n">
        <v>0</v>
      </c>
      <c r="V21" s="20" t="s">
        <v>144</v>
      </c>
      <c r="W21" s="20" t="s">
        <v>94</v>
      </c>
    </row>
    <row r="22" customFormat="false" ht="30" hidden="false" customHeight="true" outlineLevel="0" collapsed="false">
      <c r="A22" s="16" t="n">
        <v>20</v>
      </c>
      <c r="B22" s="17" t="s">
        <v>145</v>
      </c>
      <c r="C22" s="17" t="s">
        <v>146</v>
      </c>
      <c r="D22" s="17" t="s">
        <v>106</v>
      </c>
      <c r="E22" s="17" t="s">
        <v>69</v>
      </c>
      <c r="F22" s="17" t="s">
        <v>107</v>
      </c>
      <c r="G22" s="16" t="s">
        <v>57</v>
      </c>
      <c r="H22" s="22" t="s">
        <v>116</v>
      </c>
      <c r="I22" s="10" t="s">
        <v>62</v>
      </c>
      <c r="J22" s="10" t="s">
        <v>62</v>
      </c>
      <c r="K22" s="10" t="s">
        <v>71</v>
      </c>
      <c r="L22" s="10" t="s">
        <v>62</v>
      </c>
      <c r="M22" s="19" t="s">
        <v>61</v>
      </c>
      <c r="N22" s="8" t="s">
        <v>14</v>
      </c>
      <c r="O22" s="8" t="s">
        <v>14</v>
      </c>
      <c r="P22" s="8" t="s">
        <v>14</v>
      </c>
      <c r="Q22" s="12" t="s">
        <v>63</v>
      </c>
      <c r="R22" s="16" t="n">
        <v>16</v>
      </c>
      <c r="S22" s="16" t="n">
        <v>39</v>
      </c>
      <c r="T22" s="16" t="n">
        <v>505</v>
      </c>
      <c r="U22" s="16" t="n">
        <v>2</v>
      </c>
      <c r="V22" s="20" t="s">
        <v>147</v>
      </c>
      <c r="W22" s="20" t="s">
        <v>74</v>
      </c>
    </row>
    <row r="23" customFormat="false" ht="30" hidden="false" customHeight="true" outlineLevel="0" collapsed="false">
      <c r="A23" s="16" t="n">
        <v>21</v>
      </c>
      <c r="B23" s="17" t="s">
        <v>148</v>
      </c>
      <c r="C23" s="17" t="s">
        <v>149</v>
      </c>
      <c r="D23" s="17" t="s">
        <v>106</v>
      </c>
      <c r="E23" s="17" t="s">
        <v>69</v>
      </c>
      <c r="F23" s="17" t="s">
        <v>70</v>
      </c>
      <c r="G23" s="16" t="s">
        <v>57</v>
      </c>
      <c r="H23" s="22" t="s">
        <v>116</v>
      </c>
      <c r="I23" s="8" t="s">
        <v>14</v>
      </c>
      <c r="J23" s="8" t="s">
        <v>14</v>
      </c>
      <c r="K23" s="10" t="s">
        <v>71</v>
      </c>
      <c r="L23" s="8" t="s">
        <v>14</v>
      </c>
      <c r="M23" s="19" t="s">
        <v>61</v>
      </c>
      <c r="N23" s="8" t="s">
        <v>14</v>
      </c>
      <c r="O23" s="8" t="s">
        <v>14</v>
      </c>
      <c r="P23" s="8" t="s">
        <v>14</v>
      </c>
      <c r="Q23" s="12" t="s">
        <v>63</v>
      </c>
      <c r="R23" s="16" t="n">
        <v>24</v>
      </c>
      <c r="S23" s="16" t="n">
        <v>119</v>
      </c>
      <c r="T23" s="16" t="n">
        <v>337</v>
      </c>
      <c r="U23" s="16" t="n">
        <v>0</v>
      </c>
      <c r="V23" s="20" t="s">
        <v>150</v>
      </c>
      <c r="W23" s="20" t="s">
        <v>74</v>
      </c>
    </row>
    <row r="24" customFormat="false" ht="30" hidden="false" customHeight="true" outlineLevel="0" collapsed="false">
      <c r="A24" s="16" t="n">
        <v>22</v>
      </c>
      <c r="B24" s="17" t="s">
        <v>151</v>
      </c>
      <c r="C24" s="17" t="s">
        <v>96</v>
      </c>
      <c r="D24" s="17" t="s">
        <v>97</v>
      </c>
      <c r="E24" s="17" t="s">
        <v>69</v>
      </c>
      <c r="F24" s="17" t="s">
        <v>135</v>
      </c>
      <c r="G24" s="16" t="s">
        <v>57</v>
      </c>
      <c r="H24" s="22" t="s">
        <v>116</v>
      </c>
      <c r="I24" s="8" t="s">
        <v>14</v>
      </c>
      <c r="J24" s="8" t="s">
        <v>14</v>
      </c>
      <c r="K24" s="8" t="s">
        <v>14</v>
      </c>
      <c r="L24" s="10" t="s">
        <v>62</v>
      </c>
      <c r="M24" s="19" t="s">
        <v>61</v>
      </c>
      <c r="N24" s="8" t="s">
        <v>14</v>
      </c>
      <c r="O24" s="8" t="s">
        <v>14</v>
      </c>
      <c r="P24" s="8" t="s">
        <v>14</v>
      </c>
      <c r="Q24" s="12" t="s">
        <v>63</v>
      </c>
      <c r="R24" s="16" t="n">
        <v>229</v>
      </c>
      <c r="S24" s="16" t="n">
        <v>120</v>
      </c>
      <c r="T24" s="16" t="n">
        <v>651</v>
      </c>
      <c r="U24" s="16" t="n">
        <v>1</v>
      </c>
      <c r="V24" s="20" t="s">
        <v>152</v>
      </c>
      <c r="W24" s="20" t="s">
        <v>94</v>
      </c>
    </row>
    <row r="25" customFormat="false" ht="30" hidden="false" customHeight="true" outlineLevel="0" collapsed="false">
      <c r="A25" s="16" t="n">
        <v>23</v>
      </c>
      <c r="B25" s="17" t="s">
        <v>153</v>
      </c>
      <c r="C25" s="17" t="s">
        <v>154</v>
      </c>
      <c r="D25" s="17" t="s">
        <v>106</v>
      </c>
      <c r="E25" s="17" t="s">
        <v>69</v>
      </c>
      <c r="F25" s="17" t="s">
        <v>155</v>
      </c>
      <c r="G25" s="16" t="s">
        <v>57</v>
      </c>
      <c r="H25" s="22" t="s">
        <v>116</v>
      </c>
      <c r="I25" s="8" t="s">
        <v>14</v>
      </c>
      <c r="J25" s="8" t="s">
        <v>14</v>
      </c>
      <c r="K25" s="10" t="s">
        <v>71</v>
      </c>
      <c r="L25" s="8" t="s">
        <v>14</v>
      </c>
      <c r="M25" s="19" t="s">
        <v>61</v>
      </c>
      <c r="N25" s="8" t="s">
        <v>14</v>
      </c>
      <c r="O25" s="8" t="s">
        <v>14</v>
      </c>
      <c r="P25" s="8" t="s">
        <v>14</v>
      </c>
      <c r="Q25" s="12" t="s">
        <v>63</v>
      </c>
      <c r="R25" s="16" t="n">
        <v>30</v>
      </c>
      <c r="S25" s="16" t="n">
        <v>20</v>
      </c>
      <c r="T25" s="16" t="n">
        <v>41</v>
      </c>
      <c r="U25" s="16" t="n">
        <v>0</v>
      </c>
      <c r="V25" s="20" t="s">
        <v>156</v>
      </c>
      <c r="W25" s="20" t="s">
        <v>74</v>
      </c>
    </row>
    <row r="26" customFormat="false" ht="30" hidden="false" customHeight="true" outlineLevel="0" collapsed="false">
      <c r="A26" s="16" t="n">
        <v>24</v>
      </c>
      <c r="B26" s="17" t="s">
        <v>157</v>
      </c>
      <c r="C26" s="17" t="s">
        <v>158</v>
      </c>
      <c r="D26" s="17" t="s">
        <v>68</v>
      </c>
      <c r="E26" s="17" t="s">
        <v>69</v>
      </c>
      <c r="F26" s="17" t="s">
        <v>89</v>
      </c>
      <c r="G26" s="16" t="s">
        <v>57</v>
      </c>
      <c r="H26" s="22" t="s">
        <v>116</v>
      </c>
      <c r="I26" s="11" t="s">
        <v>59</v>
      </c>
      <c r="J26" s="10" t="s">
        <v>62</v>
      </c>
      <c r="K26" s="8" t="s">
        <v>14</v>
      </c>
      <c r="L26" s="10" t="s">
        <v>62</v>
      </c>
      <c r="M26" s="19" t="s">
        <v>61</v>
      </c>
      <c r="N26" s="8" t="s">
        <v>14</v>
      </c>
      <c r="O26" s="11" t="s">
        <v>59</v>
      </c>
      <c r="P26" s="8" t="s">
        <v>14</v>
      </c>
      <c r="Q26" s="12" t="s">
        <v>63</v>
      </c>
      <c r="R26" s="16" t="n">
        <v>6</v>
      </c>
      <c r="S26" s="16" t="n">
        <v>0</v>
      </c>
      <c r="T26" s="16" t="n">
        <v>10</v>
      </c>
      <c r="U26" s="16" t="n">
        <v>0</v>
      </c>
      <c r="V26" s="20" t="s">
        <v>159</v>
      </c>
      <c r="W26" s="20" t="s">
        <v>118</v>
      </c>
    </row>
    <row r="27" customFormat="false" ht="30" hidden="false" customHeight="true" outlineLevel="0" collapsed="false">
      <c r="A27" s="16" t="n">
        <v>25</v>
      </c>
      <c r="B27" s="17" t="s">
        <v>160</v>
      </c>
      <c r="C27" s="17" t="s">
        <v>161</v>
      </c>
      <c r="D27" s="17" t="s">
        <v>68</v>
      </c>
      <c r="E27" s="17" t="s">
        <v>69</v>
      </c>
      <c r="F27" s="17" t="s">
        <v>70</v>
      </c>
      <c r="G27" s="16" t="s">
        <v>57</v>
      </c>
      <c r="H27" s="22" t="s">
        <v>116</v>
      </c>
      <c r="I27" s="8" t="s">
        <v>14</v>
      </c>
      <c r="J27" s="8" t="s">
        <v>14</v>
      </c>
      <c r="K27" s="10" t="s">
        <v>71</v>
      </c>
      <c r="L27" s="8" t="s">
        <v>14</v>
      </c>
      <c r="M27" s="19" t="s">
        <v>61</v>
      </c>
      <c r="N27" s="8" t="s">
        <v>14</v>
      </c>
      <c r="O27" s="8" t="s">
        <v>14</v>
      </c>
      <c r="P27" s="8" t="s">
        <v>14</v>
      </c>
      <c r="Q27" s="12" t="s">
        <v>63</v>
      </c>
      <c r="R27" s="16" t="n">
        <v>28</v>
      </c>
      <c r="S27" s="16" t="n">
        <v>29</v>
      </c>
      <c r="T27" s="16" t="n">
        <v>454</v>
      </c>
      <c r="U27" s="16" t="n">
        <v>0</v>
      </c>
      <c r="V27" s="20" t="s">
        <v>150</v>
      </c>
      <c r="W27" s="20" t="s">
        <v>74</v>
      </c>
    </row>
    <row r="28" customFormat="false" ht="30" hidden="false" customHeight="true" outlineLevel="0" collapsed="false">
      <c r="A28" s="16" t="n">
        <v>26</v>
      </c>
      <c r="B28" s="17" t="s">
        <v>162</v>
      </c>
      <c r="C28" s="17" t="s">
        <v>163</v>
      </c>
      <c r="D28" s="17" t="s">
        <v>68</v>
      </c>
      <c r="E28" s="17" t="s">
        <v>69</v>
      </c>
      <c r="F28" s="17" t="s">
        <v>89</v>
      </c>
      <c r="G28" s="16" t="s">
        <v>57</v>
      </c>
      <c r="H28" s="22" t="s">
        <v>116</v>
      </c>
      <c r="I28" s="8" t="s">
        <v>14</v>
      </c>
      <c r="J28" s="8" t="s">
        <v>14</v>
      </c>
      <c r="K28" s="10" t="s">
        <v>71</v>
      </c>
      <c r="L28" s="8" t="s">
        <v>14</v>
      </c>
      <c r="M28" s="19" t="s">
        <v>61</v>
      </c>
      <c r="N28" s="8" t="s">
        <v>14</v>
      </c>
      <c r="O28" s="10" t="s">
        <v>62</v>
      </c>
      <c r="P28" s="8" t="s">
        <v>14</v>
      </c>
      <c r="Q28" s="12" t="s">
        <v>63</v>
      </c>
      <c r="R28" s="16" t="n">
        <v>304</v>
      </c>
      <c r="S28" s="16" t="n">
        <v>10</v>
      </c>
      <c r="T28" s="16" t="n">
        <v>2544</v>
      </c>
      <c r="U28" s="16" t="n">
        <v>0</v>
      </c>
      <c r="V28" s="20" t="s">
        <v>122</v>
      </c>
      <c r="W28" s="20" t="s">
        <v>74</v>
      </c>
    </row>
    <row r="29" customFormat="false" ht="30" hidden="false" customHeight="true" outlineLevel="0" collapsed="false">
      <c r="A29" s="16" t="n">
        <v>27</v>
      </c>
      <c r="B29" s="17" t="s">
        <v>164</v>
      </c>
      <c r="C29" s="17" t="s">
        <v>165</v>
      </c>
      <c r="D29" s="17" t="s">
        <v>68</v>
      </c>
      <c r="E29" s="17" t="s">
        <v>69</v>
      </c>
      <c r="F29" s="17" t="s">
        <v>107</v>
      </c>
      <c r="G29" s="16" t="s">
        <v>57</v>
      </c>
      <c r="H29" s="22" t="s">
        <v>116</v>
      </c>
      <c r="I29" s="8" t="s">
        <v>14</v>
      </c>
      <c r="J29" s="10" t="s">
        <v>62</v>
      </c>
      <c r="K29" s="10" t="s">
        <v>71</v>
      </c>
      <c r="L29" s="8" t="s">
        <v>14</v>
      </c>
      <c r="M29" s="19" t="s">
        <v>61</v>
      </c>
      <c r="N29" s="8" t="s">
        <v>14</v>
      </c>
      <c r="O29" s="11" t="s">
        <v>59</v>
      </c>
      <c r="P29" s="8" t="s">
        <v>14</v>
      </c>
      <c r="Q29" s="12" t="s">
        <v>63</v>
      </c>
      <c r="R29" s="16" t="n">
        <v>7</v>
      </c>
      <c r="S29" s="16" t="n">
        <v>0</v>
      </c>
      <c r="T29" s="16" t="n">
        <v>572</v>
      </c>
      <c r="U29" s="16" t="n">
        <v>0</v>
      </c>
      <c r="V29" s="20" t="s">
        <v>166</v>
      </c>
      <c r="W29" s="20" t="s">
        <v>74</v>
      </c>
    </row>
    <row r="30" customFormat="false" ht="30" hidden="false" customHeight="true" outlineLevel="0" collapsed="false">
      <c r="A30" s="16" t="n">
        <v>28</v>
      </c>
      <c r="B30" s="17" t="s">
        <v>167</v>
      </c>
      <c r="C30" s="17" t="s">
        <v>168</v>
      </c>
      <c r="D30" s="17" t="s">
        <v>111</v>
      </c>
      <c r="E30" s="17" t="s">
        <v>69</v>
      </c>
      <c r="F30" s="17" t="s">
        <v>79</v>
      </c>
      <c r="G30" s="16" t="s">
        <v>57</v>
      </c>
      <c r="H30" s="22" t="s">
        <v>116</v>
      </c>
      <c r="I30" s="8" t="s">
        <v>14</v>
      </c>
      <c r="J30" s="8" t="s">
        <v>14</v>
      </c>
      <c r="K30" s="10" t="s">
        <v>71</v>
      </c>
      <c r="L30" s="8" t="s">
        <v>14</v>
      </c>
      <c r="M30" s="19" t="s">
        <v>61</v>
      </c>
      <c r="N30" s="8" t="s">
        <v>14</v>
      </c>
      <c r="O30" s="8" t="s">
        <v>14</v>
      </c>
      <c r="P30" s="8" t="s">
        <v>14</v>
      </c>
      <c r="Q30" s="12" t="s">
        <v>63</v>
      </c>
      <c r="R30" s="16" t="n">
        <v>52</v>
      </c>
      <c r="S30" s="16" t="n">
        <v>137</v>
      </c>
      <c r="T30" s="16" t="n">
        <v>286</v>
      </c>
      <c r="U30" s="16" t="n">
        <v>0</v>
      </c>
      <c r="V30" s="20" t="s">
        <v>144</v>
      </c>
      <c r="W30" s="20" t="s">
        <v>94</v>
      </c>
    </row>
    <row r="31" customFormat="false" ht="30" hidden="false" customHeight="true" outlineLevel="0" collapsed="false">
      <c r="A31" s="16" t="n">
        <v>29</v>
      </c>
      <c r="B31" s="17" t="s">
        <v>169</v>
      </c>
      <c r="C31" s="17" t="s">
        <v>170</v>
      </c>
      <c r="D31" s="17" t="s">
        <v>111</v>
      </c>
      <c r="E31" s="17" t="s">
        <v>69</v>
      </c>
      <c r="F31" s="17" t="s">
        <v>98</v>
      </c>
      <c r="G31" s="16" t="s">
        <v>57</v>
      </c>
      <c r="H31" s="22" t="s">
        <v>116</v>
      </c>
      <c r="I31" s="8" t="s">
        <v>14</v>
      </c>
      <c r="J31" s="8" t="s">
        <v>14</v>
      </c>
      <c r="K31" s="10" t="s">
        <v>71</v>
      </c>
      <c r="L31" s="10" t="s">
        <v>62</v>
      </c>
      <c r="M31" s="19" t="s">
        <v>61</v>
      </c>
      <c r="N31" s="8" t="s">
        <v>14</v>
      </c>
      <c r="O31" s="8" t="s">
        <v>14</v>
      </c>
      <c r="P31" s="8" t="s">
        <v>14</v>
      </c>
      <c r="Q31" s="12" t="s">
        <v>63</v>
      </c>
      <c r="R31" s="16" t="n">
        <v>20</v>
      </c>
      <c r="S31" s="16" t="n">
        <v>35</v>
      </c>
      <c r="T31" s="16" t="n">
        <v>420</v>
      </c>
      <c r="U31" s="16" t="n">
        <v>3</v>
      </c>
      <c r="V31" s="20" t="s">
        <v>171</v>
      </c>
      <c r="W31" s="20" t="s">
        <v>74</v>
      </c>
    </row>
    <row r="32" customFormat="false" ht="30" hidden="false" customHeight="true" outlineLevel="0" collapsed="false">
      <c r="A32" s="16" t="n">
        <v>30</v>
      </c>
      <c r="B32" s="17" t="s">
        <v>172</v>
      </c>
      <c r="C32" s="17" t="s">
        <v>173</v>
      </c>
      <c r="D32" s="17" t="s">
        <v>111</v>
      </c>
      <c r="E32" s="17" t="s">
        <v>69</v>
      </c>
      <c r="F32" s="17" t="s">
        <v>79</v>
      </c>
      <c r="G32" s="16" t="s">
        <v>57</v>
      </c>
      <c r="H32" s="22" t="s">
        <v>116</v>
      </c>
      <c r="I32" s="8" t="s">
        <v>14</v>
      </c>
      <c r="J32" s="8" t="s">
        <v>14</v>
      </c>
      <c r="K32" s="10" t="s">
        <v>71</v>
      </c>
      <c r="L32" s="10" t="s">
        <v>62</v>
      </c>
      <c r="M32" s="19" t="s">
        <v>61</v>
      </c>
      <c r="N32" s="8" t="s">
        <v>14</v>
      </c>
      <c r="O32" s="8" t="s">
        <v>14</v>
      </c>
      <c r="P32" s="8" t="s">
        <v>14</v>
      </c>
      <c r="Q32" s="12" t="s">
        <v>63</v>
      </c>
      <c r="R32" s="16" t="n">
        <v>43</v>
      </c>
      <c r="S32" s="16" t="n">
        <v>58</v>
      </c>
      <c r="T32" s="16" t="n">
        <v>76</v>
      </c>
      <c r="U32" s="16" t="n">
        <v>1</v>
      </c>
      <c r="V32" s="20" t="s">
        <v>174</v>
      </c>
      <c r="W32" s="20" t="s">
        <v>94</v>
      </c>
    </row>
    <row r="33" customFormat="false" ht="30" hidden="false" customHeight="true" outlineLevel="0" collapsed="false">
      <c r="A33" s="16" t="n">
        <v>31</v>
      </c>
      <c r="B33" s="17" t="s">
        <v>175</v>
      </c>
      <c r="C33" s="17" t="s">
        <v>176</v>
      </c>
      <c r="D33" s="17" t="s">
        <v>106</v>
      </c>
      <c r="E33" s="17" t="s">
        <v>69</v>
      </c>
      <c r="F33" s="17" t="s">
        <v>70</v>
      </c>
      <c r="G33" s="16" t="s">
        <v>57</v>
      </c>
      <c r="H33" s="23" t="s">
        <v>177</v>
      </c>
      <c r="I33" s="8" t="s">
        <v>14</v>
      </c>
      <c r="J33" s="8" t="s">
        <v>14</v>
      </c>
      <c r="K33" s="8" t="s">
        <v>14</v>
      </c>
      <c r="L33" s="8" t="s">
        <v>14</v>
      </c>
      <c r="M33" s="19" t="s">
        <v>61</v>
      </c>
      <c r="N33" s="8" t="s">
        <v>14</v>
      </c>
      <c r="O33" s="8" t="s">
        <v>14</v>
      </c>
      <c r="P33" s="8" t="s">
        <v>14</v>
      </c>
      <c r="Q33" s="12" t="s">
        <v>63</v>
      </c>
      <c r="R33" s="16" t="n">
        <v>39</v>
      </c>
      <c r="S33" s="16" t="n">
        <v>313</v>
      </c>
      <c r="T33" s="16" t="n">
        <v>394</v>
      </c>
      <c r="U33" s="16" t="n">
        <v>0</v>
      </c>
      <c r="V33" s="20" t="s">
        <v>70</v>
      </c>
      <c r="W33" s="20" t="s">
        <v>178</v>
      </c>
    </row>
  </sheetData>
  <autoFilter ref="A2:W33"/>
  <mergeCells count="1">
    <mergeCell ref="A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6"/>
    <col collapsed="false" customWidth="true" hidden="false" outlineLevel="0" max="3" min="3" style="1" width="34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12"/>
  </cols>
  <sheetData>
    <row r="1" customFormat="false" ht="15" hidden="false" customHeight="true" outlineLevel="0" collapsed="false">
      <c r="A1" s="14" t="s">
        <v>179</v>
      </c>
      <c r="B1" s="14"/>
      <c r="C1" s="14"/>
      <c r="D1" s="14"/>
      <c r="E1" s="14"/>
      <c r="F1" s="14"/>
      <c r="G1" s="14"/>
    </row>
    <row r="2" customFormat="false" ht="23.25" hidden="false" customHeight="true" outlineLevel="0" collapsed="false">
      <c r="A2" s="15" t="s">
        <v>180</v>
      </c>
      <c r="B2" s="15" t="s">
        <v>181</v>
      </c>
      <c r="C2" s="15" t="s">
        <v>182</v>
      </c>
      <c r="D2" s="15" t="s">
        <v>183</v>
      </c>
      <c r="E2" s="15" t="s">
        <v>36</v>
      </c>
      <c r="F2" s="15" t="s">
        <v>184</v>
      </c>
      <c r="G2" s="15" t="s">
        <v>185</v>
      </c>
    </row>
    <row r="3" customFormat="false" ht="27.75" hidden="false" customHeight="true" outlineLevel="0" collapsed="false">
      <c r="A3" s="17" t="s">
        <v>186</v>
      </c>
      <c r="B3" s="20" t="s">
        <v>187</v>
      </c>
      <c r="C3" s="20" t="s">
        <v>188</v>
      </c>
      <c r="D3" s="17" t="s">
        <v>189</v>
      </c>
      <c r="E3" s="18" t="s">
        <v>58</v>
      </c>
      <c r="F3" s="20" t="s">
        <v>190</v>
      </c>
      <c r="G3" s="22" t="s">
        <v>72</v>
      </c>
    </row>
    <row r="4" customFormat="false" ht="27.75" hidden="false" customHeight="true" outlineLevel="0" collapsed="false">
      <c r="A4" s="17" t="s">
        <v>186</v>
      </c>
      <c r="B4" s="20" t="s">
        <v>191</v>
      </c>
      <c r="C4" s="20" t="s">
        <v>192</v>
      </c>
      <c r="D4" s="17" t="s">
        <v>189</v>
      </c>
      <c r="E4" s="18" t="s">
        <v>58</v>
      </c>
      <c r="F4" s="20" t="s">
        <v>193</v>
      </c>
      <c r="G4" s="24" t="s">
        <v>194</v>
      </c>
    </row>
    <row r="5" customFormat="false" ht="27.75" hidden="false" customHeight="true" outlineLevel="0" collapsed="false">
      <c r="A5" s="17" t="s">
        <v>186</v>
      </c>
      <c r="B5" s="20" t="s">
        <v>195</v>
      </c>
      <c r="C5" s="20" t="s">
        <v>196</v>
      </c>
      <c r="D5" s="17" t="s">
        <v>197</v>
      </c>
      <c r="E5" s="18" t="s">
        <v>58</v>
      </c>
      <c r="F5" s="20" t="s">
        <v>198</v>
      </c>
      <c r="G5" s="24" t="s">
        <v>194</v>
      </c>
    </row>
    <row r="6" customFormat="false" ht="27.75" hidden="false" customHeight="true" outlineLevel="0" collapsed="false">
      <c r="A6" s="17" t="s">
        <v>199</v>
      </c>
      <c r="B6" s="20" t="s">
        <v>200</v>
      </c>
      <c r="C6" s="20" t="s">
        <v>201</v>
      </c>
      <c r="D6" s="17" t="s">
        <v>202</v>
      </c>
      <c r="E6" s="18" t="s">
        <v>58</v>
      </c>
      <c r="F6" s="20" t="s">
        <v>203</v>
      </c>
      <c r="G6" s="22" t="s">
        <v>72</v>
      </c>
    </row>
    <row r="7" customFormat="false" ht="27.75" hidden="false" customHeight="true" outlineLevel="0" collapsed="false">
      <c r="A7" s="17" t="s">
        <v>199</v>
      </c>
      <c r="B7" s="20" t="s">
        <v>204</v>
      </c>
      <c r="C7" s="20" t="s">
        <v>205</v>
      </c>
      <c r="D7" s="17" t="s">
        <v>206</v>
      </c>
      <c r="E7" s="18" t="s">
        <v>58</v>
      </c>
      <c r="F7" s="20" t="s">
        <v>207</v>
      </c>
      <c r="G7" s="24" t="s">
        <v>194</v>
      </c>
    </row>
    <row r="8" customFormat="false" ht="27.75" hidden="false" customHeight="true" outlineLevel="0" collapsed="false">
      <c r="A8" s="17" t="s">
        <v>199</v>
      </c>
      <c r="B8" s="20" t="s">
        <v>208</v>
      </c>
      <c r="C8" s="20" t="s">
        <v>209</v>
      </c>
      <c r="D8" s="17" t="s">
        <v>206</v>
      </c>
      <c r="E8" s="22" t="s">
        <v>116</v>
      </c>
      <c r="F8" s="20" t="s">
        <v>210</v>
      </c>
      <c r="G8" s="24" t="s">
        <v>194</v>
      </c>
    </row>
    <row r="9" customFormat="false" ht="27.75" hidden="false" customHeight="true" outlineLevel="0" collapsed="false">
      <c r="A9" s="17" t="s">
        <v>211</v>
      </c>
      <c r="B9" s="20" t="s">
        <v>212</v>
      </c>
      <c r="C9" s="20" t="s">
        <v>213</v>
      </c>
      <c r="D9" s="17" t="s">
        <v>214</v>
      </c>
      <c r="E9" s="18" t="s">
        <v>58</v>
      </c>
      <c r="F9" s="20" t="s">
        <v>215</v>
      </c>
      <c r="G9" s="24" t="s">
        <v>194</v>
      </c>
    </row>
    <row r="10" customFormat="false" ht="27.75" hidden="false" customHeight="true" outlineLevel="0" collapsed="false">
      <c r="A10" s="17" t="s">
        <v>211</v>
      </c>
      <c r="B10" s="20" t="s">
        <v>216</v>
      </c>
      <c r="C10" s="20" t="s">
        <v>217</v>
      </c>
      <c r="D10" s="17" t="s">
        <v>218</v>
      </c>
      <c r="E10" s="18" t="s">
        <v>58</v>
      </c>
      <c r="F10" s="20" t="s">
        <v>190</v>
      </c>
      <c r="G10" s="24" t="s">
        <v>194</v>
      </c>
    </row>
    <row r="11" customFormat="false" ht="27.75" hidden="false" customHeight="true" outlineLevel="0" collapsed="false">
      <c r="A11" s="17" t="s">
        <v>211</v>
      </c>
      <c r="B11" s="20" t="s">
        <v>219</v>
      </c>
      <c r="C11" s="20" t="s">
        <v>220</v>
      </c>
      <c r="D11" s="17" t="s">
        <v>218</v>
      </c>
      <c r="E11" s="22" t="s">
        <v>116</v>
      </c>
      <c r="F11" s="20" t="s">
        <v>190</v>
      </c>
      <c r="G11" s="24" t="s">
        <v>194</v>
      </c>
    </row>
    <row r="12" customFormat="false" ht="27.75" hidden="false" customHeight="true" outlineLevel="0" collapsed="false">
      <c r="A12" s="17" t="s">
        <v>221</v>
      </c>
      <c r="B12" s="20" t="s">
        <v>222</v>
      </c>
      <c r="C12" s="20" t="s">
        <v>223</v>
      </c>
      <c r="D12" s="17" t="s">
        <v>224</v>
      </c>
      <c r="E12" s="22" t="s">
        <v>116</v>
      </c>
      <c r="F12" s="20" t="s">
        <v>225</v>
      </c>
      <c r="G12" s="24" t="s">
        <v>194</v>
      </c>
    </row>
    <row r="13" customFormat="false" ht="27.75" hidden="false" customHeight="true" outlineLevel="0" collapsed="false">
      <c r="A13" s="17" t="s">
        <v>221</v>
      </c>
      <c r="B13" s="20" t="s">
        <v>226</v>
      </c>
      <c r="C13" s="20" t="s">
        <v>227</v>
      </c>
      <c r="D13" s="17" t="s">
        <v>224</v>
      </c>
      <c r="E13" s="18" t="s">
        <v>58</v>
      </c>
      <c r="F13" s="20" t="s">
        <v>190</v>
      </c>
      <c r="G13" s="24" t="s">
        <v>194</v>
      </c>
    </row>
    <row r="14" customFormat="false" ht="27.75" hidden="false" customHeight="true" outlineLevel="0" collapsed="false">
      <c r="A14" s="17" t="s">
        <v>228</v>
      </c>
      <c r="B14" s="20" t="s">
        <v>229</v>
      </c>
      <c r="C14" s="20" t="s">
        <v>230</v>
      </c>
      <c r="D14" s="17" t="s">
        <v>231</v>
      </c>
      <c r="E14" s="22" t="s">
        <v>116</v>
      </c>
      <c r="F14" s="20" t="s">
        <v>37</v>
      </c>
      <c r="G14" s="24" t="s">
        <v>194</v>
      </c>
    </row>
    <row r="15" customFormat="false" ht="27.75" hidden="false" customHeight="true" outlineLevel="0" collapsed="false">
      <c r="A15" s="17" t="s">
        <v>228</v>
      </c>
      <c r="B15" s="20" t="s">
        <v>232</v>
      </c>
      <c r="C15" s="20" t="s">
        <v>233</v>
      </c>
      <c r="D15" s="17" t="s">
        <v>234</v>
      </c>
      <c r="E15" s="22" t="s">
        <v>116</v>
      </c>
      <c r="F15" s="20" t="s">
        <v>235</v>
      </c>
      <c r="G15" s="24" t="s">
        <v>194</v>
      </c>
    </row>
    <row r="16" customFormat="false" ht="27.75" hidden="false" customHeight="true" outlineLevel="0" collapsed="false">
      <c r="A16" s="17" t="s">
        <v>236</v>
      </c>
      <c r="B16" s="20" t="s">
        <v>237</v>
      </c>
      <c r="C16" s="20" t="s">
        <v>238</v>
      </c>
      <c r="D16" s="17" t="s">
        <v>239</v>
      </c>
      <c r="E16" s="22" t="s">
        <v>116</v>
      </c>
      <c r="F16" s="20" t="s">
        <v>207</v>
      </c>
      <c r="G16" s="24" t="s">
        <v>194</v>
      </c>
    </row>
    <row r="17" customFormat="false" ht="27.75" hidden="false" customHeight="true" outlineLevel="0" collapsed="false">
      <c r="A17" s="17" t="s">
        <v>236</v>
      </c>
      <c r="B17" s="20" t="s">
        <v>240</v>
      </c>
      <c r="C17" s="20" t="s">
        <v>241</v>
      </c>
      <c r="D17" s="17" t="s">
        <v>242</v>
      </c>
      <c r="E17" s="22" t="s">
        <v>116</v>
      </c>
      <c r="F17" s="20" t="s">
        <v>190</v>
      </c>
      <c r="G17" s="24" t="s">
        <v>194</v>
      </c>
    </row>
    <row r="18" customFormat="false" ht="27.75" hidden="false" customHeight="true" outlineLevel="0" collapsed="false">
      <c r="A18" s="17" t="s">
        <v>243</v>
      </c>
      <c r="B18" s="20" t="s">
        <v>244</v>
      </c>
      <c r="C18" s="20" t="s">
        <v>245</v>
      </c>
      <c r="D18" s="17" t="s">
        <v>246</v>
      </c>
      <c r="E18" s="18" t="s">
        <v>58</v>
      </c>
      <c r="F18" s="20" t="s">
        <v>190</v>
      </c>
      <c r="G18" s="22" t="s">
        <v>72</v>
      </c>
    </row>
    <row r="19" customFormat="false" ht="27.75" hidden="false" customHeight="true" outlineLevel="0" collapsed="false">
      <c r="A19" s="17" t="s">
        <v>247</v>
      </c>
      <c r="B19" s="20" t="s">
        <v>248</v>
      </c>
      <c r="C19" s="20" t="s">
        <v>249</v>
      </c>
      <c r="D19" s="17" t="s">
        <v>246</v>
      </c>
      <c r="E19" s="18" t="s">
        <v>58</v>
      </c>
      <c r="F19" s="20" t="s">
        <v>190</v>
      </c>
      <c r="G19" s="24" t="s">
        <v>194</v>
      </c>
    </row>
    <row r="20" customFormat="false" ht="27.75" hidden="false" customHeight="true" outlineLevel="0" collapsed="false">
      <c r="A20" s="17" t="s">
        <v>250</v>
      </c>
      <c r="B20" s="20" t="s">
        <v>251</v>
      </c>
      <c r="C20" s="20" t="s">
        <v>252</v>
      </c>
      <c r="D20" s="17" t="s">
        <v>253</v>
      </c>
      <c r="E20" s="22" t="s">
        <v>116</v>
      </c>
      <c r="F20" s="20" t="s">
        <v>254</v>
      </c>
      <c r="G20" s="24" t="s">
        <v>194</v>
      </c>
    </row>
    <row r="21" customFormat="false" ht="27.75" hidden="false" customHeight="true" outlineLevel="0" collapsed="false">
      <c r="A21" s="17" t="s">
        <v>255</v>
      </c>
      <c r="B21" s="20" t="s">
        <v>256</v>
      </c>
      <c r="C21" s="20" t="s">
        <v>257</v>
      </c>
      <c r="D21" s="17" t="s">
        <v>258</v>
      </c>
      <c r="E21" s="23" t="s">
        <v>177</v>
      </c>
      <c r="F21" s="20" t="s">
        <v>259</v>
      </c>
      <c r="G21" s="24" t="s">
        <v>194</v>
      </c>
    </row>
  </sheetData>
  <autoFilter ref="A2:G21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24"/>
    <col collapsed="false" customWidth="true" hidden="false" outlineLevel="0" max="5" min="5" style="1" width="18"/>
  </cols>
  <sheetData>
    <row r="1" customFormat="false" ht="15" hidden="false" customHeight="true" outlineLevel="0" collapsed="false">
      <c r="A1" s="25" t="s">
        <v>260</v>
      </c>
      <c r="B1" s="25"/>
      <c r="C1" s="25"/>
      <c r="D1" s="25"/>
      <c r="E1" s="25"/>
    </row>
    <row r="2" customFormat="false" ht="23.25" hidden="false" customHeight="true" outlineLevel="0" collapsed="false">
      <c r="A2" s="15" t="s">
        <v>261</v>
      </c>
      <c r="B2" s="15" t="s">
        <v>262</v>
      </c>
      <c r="C2" s="15" t="s">
        <v>263</v>
      </c>
      <c r="D2" s="15" t="s">
        <v>264</v>
      </c>
      <c r="E2" s="15" t="s">
        <v>265</v>
      </c>
    </row>
    <row r="3" customFormat="false" ht="25.5" hidden="false" customHeight="true" outlineLevel="0" collapsed="false">
      <c r="A3" s="17" t="s">
        <v>34</v>
      </c>
      <c r="B3" s="26" t="s">
        <v>266</v>
      </c>
      <c r="C3" s="20" t="s">
        <v>267</v>
      </c>
      <c r="D3" s="17" t="s">
        <v>268</v>
      </c>
      <c r="E3" s="27" t="str">
        <f aca="false">COUNTIF('Tabla Maestra'!F2:F40,"*Astro 6*")&amp;" / "&amp;COUNTA('Tabla Maestra'!A3:A40)</f>
        <v>8 / 31</v>
      </c>
    </row>
    <row r="4" customFormat="false" ht="25.5" hidden="false" customHeight="true" outlineLevel="0" collapsed="false">
      <c r="A4" s="17" t="s">
        <v>269</v>
      </c>
      <c r="B4" s="26" t="s">
        <v>270</v>
      </c>
      <c r="C4" s="20" t="s">
        <v>271</v>
      </c>
      <c r="D4" s="17" t="s">
        <v>210</v>
      </c>
      <c r="E4" s="27" t="str">
        <f aca="false">COUNTIF('Tabla Maestra'!K2:K40,"OK")&amp;" / "&amp;COUNTA('Tabla Maestra'!A3:A40)</f>
        <v>8 / 31</v>
      </c>
    </row>
    <row r="5" customFormat="false" ht="25.5" hidden="false" customHeight="true" outlineLevel="0" collapsed="false">
      <c r="A5" s="17" t="s">
        <v>272</v>
      </c>
      <c r="B5" s="26" t="s">
        <v>273</v>
      </c>
      <c r="C5" s="20" t="s">
        <v>274</v>
      </c>
      <c r="D5" s="17" t="s">
        <v>275</v>
      </c>
      <c r="E5" s="27" t="s">
        <v>276</v>
      </c>
    </row>
    <row r="6" customFormat="false" ht="25.5" hidden="false" customHeight="true" outlineLevel="0" collapsed="false">
      <c r="A6" s="17" t="s">
        <v>277</v>
      </c>
      <c r="B6" s="26" t="s">
        <v>273</v>
      </c>
      <c r="C6" s="20" t="s">
        <v>278</v>
      </c>
      <c r="D6" s="17" t="s">
        <v>279</v>
      </c>
      <c r="E6" s="27" t="s">
        <v>276</v>
      </c>
    </row>
    <row r="7" customFormat="false" ht="25.5" hidden="false" customHeight="true" outlineLevel="0" collapsed="false">
      <c r="A7" s="17" t="s">
        <v>280</v>
      </c>
      <c r="B7" s="26" t="s">
        <v>273</v>
      </c>
      <c r="C7" s="20" t="s">
        <v>281</v>
      </c>
      <c r="D7" s="17" t="s">
        <v>215</v>
      </c>
      <c r="E7" s="27" t="s">
        <v>276</v>
      </c>
    </row>
    <row r="8" customFormat="false" ht="25.5" hidden="false" customHeight="true" outlineLevel="0" collapsed="false">
      <c r="A8" s="17" t="s">
        <v>282</v>
      </c>
      <c r="B8" s="26" t="s">
        <v>283</v>
      </c>
      <c r="C8" s="20" t="s">
        <v>284</v>
      </c>
      <c r="D8" s="17" t="s">
        <v>285</v>
      </c>
      <c r="E8" s="27" t="s">
        <v>276</v>
      </c>
    </row>
    <row r="9" customFormat="false" ht="25.5" hidden="false" customHeight="true" outlineLevel="0" collapsed="false">
      <c r="A9" s="17" t="s">
        <v>286</v>
      </c>
      <c r="B9" s="26" t="s">
        <v>287</v>
      </c>
      <c r="C9" s="20" t="s">
        <v>288</v>
      </c>
      <c r="D9" s="17" t="s">
        <v>289</v>
      </c>
      <c r="E9" s="27" t="s">
        <v>290</v>
      </c>
    </row>
    <row r="10" customFormat="false" ht="25.5" hidden="false" customHeight="true" outlineLevel="0" collapsed="false">
      <c r="A10" s="17" t="s">
        <v>291</v>
      </c>
      <c r="B10" s="26" t="s">
        <v>292</v>
      </c>
      <c r="C10" s="20" t="s">
        <v>293</v>
      </c>
      <c r="D10" s="17" t="s">
        <v>294</v>
      </c>
      <c r="E10" s="27" t="str">
        <f aca="false">COUNTIF('Tabla Maestra'!N2:N40,"OK")&amp;" / "&amp;COUNTA('Tabla Maestra'!A3:A40)</f>
        <v>28 / 31</v>
      </c>
    </row>
    <row r="11" customFormat="false" ht="25.5" hidden="false" customHeight="true" outlineLevel="0" collapsed="false">
      <c r="A11" s="17" t="s">
        <v>295</v>
      </c>
      <c r="B11" s="26" t="s">
        <v>273</v>
      </c>
      <c r="C11" s="20" t="s">
        <v>296</v>
      </c>
      <c r="D11" s="17" t="s">
        <v>297</v>
      </c>
      <c r="E11" s="27" t="str">
        <f aca="false">COUNTIF('Tabla Maestra'!I2:I40,"OK")&amp;"+ parciales"</f>
        <v>24+ parciales</v>
      </c>
    </row>
    <row r="12" customFormat="false" ht="25.5" hidden="false" customHeight="true" outlineLevel="0" collapsed="false">
      <c r="A12" s="17" t="s">
        <v>298</v>
      </c>
      <c r="B12" s="26" t="s">
        <v>273</v>
      </c>
      <c r="C12" s="20" t="s">
        <v>299</v>
      </c>
      <c r="D12" s="17" t="s">
        <v>215</v>
      </c>
      <c r="E12" s="27" t="s">
        <v>290</v>
      </c>
    </row>
    <row r="13" customFormat="false" ht="25.5" hidden="false" customHeight="true" outlineLevel="0" collapsed="false">
      <c r="A13" s="17" t="s">
        <v>300</v>
      </c>
      <c r="B13" s="26" t="s">
        <v>273</v>
      </c>
      <c r="C13" s="20" t="s">
        <v>301</v>
      </c>
      <c r="D13" s="17" t="s">
        <v>302</v>
      </c>
      <c r="E13" s="27" t="s">
        <v>276</v>
      </c>
    </row>
    <row r="14" customFormat="false" ht="25.5" hidden="false" customHeight="true" outlineLevel="0" collapsed="false">
      <c r="A14" s="17" t="s">
        <v>303</v>
      </c>
      <c r="B14" s="26" t="s">
        <v>273</v>
      </c>
      <c r="C14" s="20" t="s">
        <v>304</v>
      </c>
      <c r="D14" s="17" t="s">
        <v>305</v>
      </c>
      <c r="E14" s="27" t="s">
        <v>276</v>
      </c>
    </row>
    <row r="15" customFormat="false" ht="25.5" hidden="false" customHeight="true" outlineLevel="0" collapsed="false">
      <c r="A15" s="17" t="s">
        <v>306</v>
      </c>
      <c r="B15" s="26" t="s">
        <v>307</v>
      </c>
      <c r="C15" s="20" t="s">
        <v>308</v>
      </c>
      <c r="D15" s="17" t="s">
        <v>309</v>
      </c>
      <c r="E15" s="27" t="str">
        <f aca="false">COUNTIF('Tabla Maestra'!P2:P40,"OK")&amp;" / "&amp;COUNTA('Tabla Maestra'!A3:A40)</f>
        <v>28 / 31</v>
      </c>
    </row>
    <row r="16" customFormat="false" ht="25.5" hidden="false" customHeight="true" outlineLevel="0" collapsed="false">
      <c r="A16" s="17" t="s">
        <v>43</v>
      </c>
      <c r="B16" s="26" t="s">
        <v>273</v>
      </c>
      <c r="C16" s="20" t="s">
        <v>310</v>
      </c>
      <c r="D16" s="17" t="s">
        <v>311</v>
      </c>
      <c r="E16" s="27" t="s">
        <v>290</v>
      </c>
    </row>
    <row r="17" customFormat="false" ht="25.5" hidden="false" customHeight="true" outlineLevel="0" collapsed="false">
      <c r="A17" s="17" t="s">
        <v>40</v>
      </c>
      <c r="B17" s="26" t="s">
        <v>312</v>
      </c>
      <c r="C17" s="20" t="s">
        <v>313</v>
      </c>
      <c r="D17" s="17" t="s">
        <v>314</v>
      </c>
      <c r="E17" s="27" t="s">
        <v>315</v>
      </c>
    </row>
    <row r="18" customFormat="false" ht="25.5" hidden="false" customHeight="true" outlineLevel="0" collapsed="false">
      <c r="A18" s="17" t="s">
        <v>316</v>
      </c>
      <c r="B18" s="26" t="s">
        <v>273</v>
      </c>
      <c r="C18" s="20" t="s">
        <v>317</v>
      </c>
      <c r="D18" s="17" t="s">
        <v>318</v>
      </c>
      <c r="E18" s="27" t="s">
        <v>276</v>
      </c>
    </row>
    <row r="19" customFormat="false" ht="25.5" hidden="false" customHeight="true" outlineLevel="0" collapsed="false">
      <c r="A19" s="17" t="s">
        <v>319</v>
      </c>
      <c r="B19" s="26" t="s">
        <v>273</v>
      </c>
      <c r="C19" s="20" t="s">
        <v>320</v>
      </c>
      <c r="D19" s="17" t="s">
        <v>321</v>
      </c>
      <c r="E19" s="27" t="s">
        <v>322</v>
      </c>
    </row>
    <row r="20" customFormat="false" ht="25.5" hidden="false" customHeight="true" outlineLevel="0" collapsed="false">
      <c r="A20" s="17" t="s">
        <v>323</v>
      </c>
      <c r="B20" s="26" t="s">
        <v>273</v>
      </c>
      <c r="C20" s="20" t="s">
        <v>324</v>
      </c>
      <c r="D20" s="17" t="s">
        <v>325</v>
      </c>
      <c r="E20" s="27" t="s">
        <v>276</v>
      </c>
    </row>
    <row r="21" customFormat="false" ht="25.5" hidden="false" customHeight="true" outlineLevel="0" collapsed="false">
      <c r="A21" s="17" t="s">
        <v>326</v>
      </c>
      <c r="B21" s="26" t="s">
        <v>327</v>
      </c>
      <c r="C21" s="20" t="s">
        <v>328</v>
      </c>
      <c r="D21" s="17" t="s">
        <v>329</v>
      </c>
      <c r="E21" s="27" t="s">
        <v>330</v>
      </c>
    </row>
    <row r="22" customFormat="false" ht="25.5" hidden="false" customHeight="true" outlineLevel="0" collapsed="false">
      <c r="A22" s="17" t="s">
        <v>45</v>
      </c>
      <c r="B22" s="26" t="s">
        <v>331</v>
      </c>
      <c r="C22" s="20" t="s">
        <v>332</v>
      </c>
      <c r="D22" s="17" t="s">
        <v>333</v>
      </c>
      <c r="E22" s="27" t="s">
        <v>334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46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2"/>
  </cols>
  <sheetData>
    <row r="1" customFormat="false" ht="15" hidden="false" customHeight="true" outlineLevel="0" collapsed="false">
      <c r="A1" s="14" t="s">
        <v>335</v>
      </c>
      <c r="B1" s="14"/>
      <c r="C1" s="14"/>
      <c r="D1" s="14"/>
      <c r="E1" s="14"/>
      <c r="F1" s="14"/>
      <c r="G1" s="14"/>
    </row>
    <row r="2" customFormat="false" ht="15" hidden="false" customHeight="true" outlineLevel="0" collapsed="false">
      <c r="A2" s="15" t="s">
        <v>336</v>
      </c>
      <c r="B2" s="15" t="s">
        <v>337</v>
      </c>
      <c r="C2" s="15" t="s">
        <v>338</v>
      </c>
      <c r="D2" s="15" t="s">
        <v>339</v>
      </c>
      <c r="E2" s="15" t="s">
        <v>36</v>
      </c>
      <c r="F2" s="15" t="s">
        <v>340</v>
      </c>
      <c r="G2" s="15" t="s">
        <v>185</v>
      </c>
    </row>
    <row r="3" customFormat="false" ht="25.5" hidden="false" customHeight="true" outlineLevel="0" collapsed="false">
      <c r="A3" s="16" t="n">
        <v>1</v>
      </c>
      <c r="B3" s="16" t="s">
        <v>341</v>
      </c>
      <c r="C3" s="17" t="s">
        <v>52</v>
      </c>
      <c r="D3" s="20" t="s">
        <v>65</v>
      </c>
      <c r="E3" s="18" t="s">
        <v>58</v>
      </c>
      <c r="F3" s="16" t="s">
        <v>342</v>
      </c>
      <c r="G3" s="24" t="s">
        <v>194</v>
      </c>
    </row>
    <row r="4" customFormat="false" ht="25.5" hidden="false" customHeight="true" outlineLevel="0" collapsed="false">
      <c r="A4" s="16" t="n">
        <v>2</v>
      </c>
      <c r="B4" s="16" t="s">
        <v>343</v>
      </c>
      <c r="C4" s="17" t="s">
        <v>66</v>
      </c>
      <c r="D4" s="20" t="s">
        <v>344</v>
      </c>
      <c r="E4" s="18" t="s">
        <v>58</v>
      </c>
      <c r="F4" s="16" t="s">
        <v>342</v>
      </c>
      <c r="G4" s="24" t="s">
        <v>194</v>
      </c>
    </row>
    <row r="5" customFormat="false" ht="25.5" hidden="false" customHeight="true" outlineLevel="0" collapsed="false">
      <c r="A5" s="16" t="n">
        <v>3</v>
      </c>
      <c r="B5" s="16" t="s">
        <v>345</v>
      </c>
      <c r="C5" s="17" t="s">
        <v>75</v>
      </c>
      <c r="D5" s="20" t="s">
        <v>82</v>
      </c>
      <c r="E5" s="18" t="s">
        <v>58</v>
      </c>
      <c r="F5" s="16" t="s">
        <v>342</v>
      </c>
      <c r="G5" s="24" t="s">
        <v>194</v>
      </c>
    </row>
    <row r="6" customFormat="false" ht="25.5" hidden="false" customHeight="true" outlineLevel="0" collapsed="false">
      <c r="A6" s="16" t="n">
        <v>4</v>
      </c>
      <c r="B6" s="16" t="s">
        <v>346</v>
      </c>
      <c r="C6" s="17" t="s">
        <v>83</v>
      </c>
      <c r="D6" s="20" t="s">
        <v>65</v>
      </c>
      <c r="E6" s="18" t="s">
        <v>58</v>
      </c>
      <c r="F6" s="16" t="s">
        <v>342</v>
      </c>
      <c r="G6" s="24" t="s">
        <v>194</v>
      </c>
    </row>
    <row r="7" customFormat="false" ht="25.5" hidden="false" customHeight="true" outlineLevel="0" collapsed="false">
      <c r="A7" s="16" t="n">
        <v>5</v>
      </c>
      <c r="B7" s="16" t="s">
        <v>347</v>
      </c>
      <c r="C7" s="17" t="s">
        <v>87</v>
      </c>
      <c r="D7" s="20" t="s">
        <v>348</v>
      </c>
      <c r="E7" s="18" t="s">
        <v>58</v>
      </c>
      <c r="F7" s="16" t="s">
        <v>342</v>
      </c>
      <c r="G7" s="24" t="s">
        <v>194</v>
      </c>
    </row>
    <row r="8" customFormat="false" ht="25.5" hidden="false" customHeight="true" outlineLevel="0" collapsed="false">
      <c r="A8" s="16" t="n">
        <v>6</v>
      </c>
      <c r="B8" s="16" t="s">
        <v>349</v>
      </c>
      <c r="C8" s="17" t="s">
        <v>91</v>
      </c>
      <c r="D8" s="20" t="s">
        <v>350</v>
      </c>
      <c r="E8" s="18" t="s">
        <v>58</v>
      </c>
      <c r="F8" s="16" t="s">
        <v>342</v>
      </c>
      <c r="G8" s="24" t="s">
        <v>194</v>
      </c>
    </row>
    <row r="9" customFormat="false" ht="25.5" hidden="false" customHeight="true" outlineLevel="0" collapsed="false">
      <c r="A9" s="16" t="n">
        <v>8</v>
      </c>
      <c r="B9" s="16" t="s">
        <v>351</v>
      </c>
      <c r="C9" s="17" t="s">
        <v>101</v>
      </c>
      <c r="D9" s="20" t="s">
        <v>352</v>
      </c>
      <c r="E9" s="18" t="s">
        <v>58</v>
      </c>
      <c r="F9" s="16" t="s">
        <v>342</v>
      </c>
      <c r="G9" s="24" t="s">
        <v>194</v>
      </c>
    </row>
    <row r="10" customFormat="false" ht="25.5" hidden="false" customHeight="true" outlineLevel="0" collapsed="false">
      <c r="A10" s="16" t="n">
        <v>9</v>
      </c>
      <c r="B10" s="16" t="s">
        <v>353</v>
      </c>
      <c r="C10" s="17" t="s">
        <v>104</v>
      </c>
      <c r="D10" s="20" t="s">
        <v>344</v>
      </c>
      <c r="E10" s="18" t="s">
        <v>58</v>
      </c>
      <c r="F10" s="16" t="s">
        <v>342</v>
      </c>
      <c r="G10" s="24" t="s">
        <v>194</v>
      </c>
    </row>
    <row r="11" customFormat="false" ht="25.5" hidden="false" customHeight="true" outlineLevel="0" collapsed="false">
      <c r="A11" s="16" t="n">
        <v>10</v>
      </c>
      <c r="B11" s="16" t="s">
        <v>354</v>
      </c>
      <c r="C11" s="17" t="s">
        <v>109</v>
      </c>
      <c r="D11" s="20" t="s">
        <v>65</v>
      </c>
      <c r="E11" s="18" t="s">
        <v>58</v>
      </c>
      <c r="F11" s="16" t="s">
        <v>342</v>
      </c>
      <c r="G11" s="24" t="s">
        <v>194</v>
      </c>
    </row>
    <row r="12" customFormat="false" ht="25.5" hidden="false" customHeight="true" outlineLevel="0" collapsed="false">
      <c r="A12" s="16" t="n">
        <v>11</v>
      </c>
      <c r="B12" s="16" t="s">
        <v>355</v>
      </c>
      <c r="C12" s="17" t="s">
        <v>112</v>
      </c>
      <c r="D12" s="20" t="s">
        <v>82</v>
      </c>
      <c r="E12" s="18" t="s">
        <v>58</v>
      </c>
      <c r="F12" s="16" t="s">
        <v>342</v>
      </c>
      <c r="G12" s="24" t="s">
        <v>194</v>
      </c>
    </row>
    <row r="13" customFormat="false" ht="25.5" hidden="false" customHeight="true" outlineLevel="0" collapsed="false">
      <c r="A13" s="16" t="n">
        <v>12</v>
      </c>
      <c r="B13" s="16" t="s">
        <v>356</v>
      </c>
      <c r="C13" s="17" t="s">
        <v>114</v>
      </c>
      <c r="D13" s="20" t="s">
        <v>118</v>
      </c>
      <c r="E13" s="22" t="s">
        <v>116</v>
      </c>
      <c r="F13" s="16" t="s">
        <v>342</v>
      </c>
      <c r="G13" s="24" t="s">
        <v>194</v>
      </c>
    </row>
    <row r="14" customFormat="false" ht="25.5" hidden="false" customHeight="true" outlineLevel="0" collapsed="false">
      <c r="A14" s="16" t="n">
        <v>13</v>
      </c>
      <c r="B14" s="16" t="s">
        <v>357</v>
      </c>
      <c r="C14" s="17" t="s">
        <v>119</v>
      </c>
      <c r="D14" s="20" t="s">
        <v>74</v>
      </c>
      <c r="E14" s="22" t="s">
        <v>116</v>
      </c>
      <c r="F14" s="16" t="s">
        <v>342</v>
      </c>
      <c r="G14" s="24" t="s">
        <v>194</v>
      </c>
    </row>
    <row r="15" customFormat="false" ht="25.5" hidden="false" customHeight="true" outlineLevel="0" collapsed="false">
      <c r="A15" s="16" t="n">
        <v>14</v>
      </c>
      <c r="B15" s="16" t="s">
        <v>358</v>
      </c>
      <c r="C15" s="17" t="s">
        <v>123</v>
      </c>
      <c r="D15" s="20" t="s">
        <v>74</v>
      </c>
      <c r="E15" s="22" t="s">
        <v>116</v>
      </c>
      <c r="F15" s="16" t="s">
        <v>342</v>
      </c>
      <c r="G15" s="24" t="s">
        <v>194</v>
      </c>
    </row>
    <row r="16" customFormat="false" ht="25.5" hidden="false" customHeight="true" outlineLevel="0" collapsed="false">
      <c r="A16" s="16" t="n">
        <v>15</v>
      </c>
      <c r="B16" s="16" t="s">
        <v>359</v>
      </c>
      <c r="C16" s="17" t="s">
        <v>127</v>
      </c>
      <c r="D16" s="20" t="s">
        <v>74</v>
      </c>
      <c r="E16" s="22" t="s">
        <v>116</v>
      </c>
      <c r="F16" s="16" t="s">
        <v>342</v>
      </c>
      <c r="G16" s="24" t="s">
        <v>194</v>
      </c>
    </row>
    <row r="17" customFormat="false" ht="25.5" hidden="false" customHeight="true" outlineLevel="0" collapsed="false">
      <c r="A17" s="16" t="n">
        <v>16</v>
      </c>
      <c r="B17" s="16" t="s">
        <v>360</v>
      </c>
      <c r="C17" s="17" t="s">
        <v>131</v>
      </c>
      <c r="D17" s="20" t="s">
        <v>74</v>
      </c>
      <c r="E17" s="22" t="s">
        <v>116</v>
      </c>
      <c r="F17" s="16" t="s">
        <v>342</v>
      </c>
      <c r="G17" s="24" t="s">
        <v>194</v>
      </c>
    </row>
    <row r="18" customFormat="false" ht="25.5" hidden="false" customHeight="true" outlineLevel="0" collapsed="false">
      <c r="A18" s="16" t="n">
        <v>17</v>
      </c>
      <c r="B18" s="16" t="s">
        <v>361</v>
      </c>
      <c r="C18" s="17" t="s">
        <v>133</v>
      </c>
      <c r="D18" s="20" t="s">
        <v>94</v>
      </c>
      <c r="E18" s="22" t="s">
        <v>116</v>
      </c>
      <c r="F18" s="16" t="s">
        <v>342</v>
      </c>
      <c r="G18" s="24" t="s">
        <v>194</v>
      </c>
    </row>
    <row r="19" customFormat="false" ht="25.5" hidden="false" customHeight="true" outlineLevel="0" collapsed="false">
      <c r="A19" s="16" t="n">
        <v>18</v>
      </c>
      <c r="B19" s="16" t="s">
        <v>362</v>
      </c>
      <c r="C19" s="17" t="s">
        <v>136</v>
      </c>
      <c r="D19" s="20" t="s">
        <v>74</v>
      </c>
      <c r="E19" s="22" t="s">
        <v>116</v>
      </c>
      <c r="F19" s="16" t="s">
        <v>342</v>
      </c>
      <c r="G19" s="24" t="s">
        <v>194</v>
      </c>
    </row>
    <row r="20" customFormat="false" ht="25.5" hidden="false" customHeight="true" outlineLevel="0" collapsed="false">
      <c r="A20" s="16" t="n">
        <v>19</v>
      </c>
      <c r="B20" s="16" t="s">
        <v>363</v>
      </c>
      <c r="C20" s="17" t="s">
        <v>140</v>
      </c>
      <c r="D20" s="20" t="s">
        <v>94</v>
      </c>
      <c r="E20" s="22" t="s">
        <v>116</v>
      </c>
      <c r="F20" s="16" t="s">
        <v>342</v>
      </c>
      <c r="G20" s="24" t="s">
        <v>194</v>
      </c>
    </row>
    <row r="21" customFormat="false" ht="25.5" hidden="false" customHeight="true" outlineLevel="0" collapsed="false">
      <c r="A21" s="16" t="n">
        <v>20</v>
      </c>
      <c r="B21" s="16" t="s">
        <v>364</v>
      </c>
      <c r="C21" s="17" t="s">
        <v>145</v>
      </c>
      <c r="D21" s="20" t="s">
        <v>74</v>
      </c>
      <c r="E21" s="22" t="s">
        <v>116</v>
      </c>
      <c r="F21" s="16" t="s">
        <v>342</v>
      </c>
      <c r="G21" s="24" t="s">
        <v>194</v>
      </c>
    </row>
    <row r="22" customFormat="false" ht="25.5" hidden="false" customHeight="true" outlineLevel="0" collapsed="false">
      <c r="A22" s="16" t="n">
        <v>21</v>
      </c>
      <c r="B22" s="16" t="s">
        <v>365</v>
      </c>
      <c r="C22" s="17" t="s">
        <v>148</v>
      </c>
      <c r="D22" s="20" t="s">
        <v>74</v>
      </c>
      <c r="E22" s="22" t="s">
        <v>116</v>
      </c>
      <c r="F22" s="16" t="s">
        <v>342</v>
      </c>
      <c r="G22" s="24" t="s">
        <v>194</v>
      </c>
    </row>
    <row r="23" customFormat="false" ht="25.5" hidden="false" customHeight="true" outlineLevel="0" collapsed="false">
      <c r="A23" s="16" t="n">
        <v>22</v>
      </c>
      <c r="B23" s="16" t="s">
        <v>366</v>
      </c>
      <c r="C23" s="17" t="s">
        <v>151</v>
      </c>
      <c r="D23" s="20" t="s">
        <v>94</v>
      </c>
      <c r="E23" s="22" t="s">
        <v>116</v>
      </c>
      <c r="F23" s="16" t="s">
        <v>342</v>
      </c>
      <c r="G23" s="24" t="s">
        <v>194</v>
      </c>
    </row>
    <row r="24" customFormat="false" ht="25.5" hidden="false" customHeight="true" outlineLevel="0" collapsed="false">
      <c r="A24" s="16" t="n">
        <v>23</v>
      </c>
      <c r="B24" s="16" t="s">
        <v>367</v>
      </c>
      <c r="C24" s="17" t="s">
        <v>153</v>
      </c>
      <c r="D24" s="20" t="s">
        <v>74</v>
      </c>
      <c r="E24" s="22" t="s">
        <v>116</v>
      </c>
      <c r="F24" s="16" t="s">
        <v>342</v>
      </c>
      <c r="G24" s="24" t="s">
        <v>194</v>
      </c>
    </row>
    <row r="25" customFormat="false" ht="25.5" hidden="false" customHeight="true" outlineLevel="0" collapsed="false">
      <c r="A25" s="16" t="n">
        <v>24</v>
      </c>
      <c r="B25" s="16" t="s">
        <v>368</v>
      </c>
      <c r="C25" s="17" t="s">
        <v>157</v>
      </c>
      <c r="D25" s="20" t="s">
        <v>118</v>
      </c>
      <c r="E25" s="22" t="s">
        <v>116</v>
      </c>
      <c r="F25" s="16" t="s">
        <v>342</v>
      </c>
      <c r="G25" s="24" t="s">
        <v>194</v>
      </c>
    </row>
    <row r="26" customFormat="false" ht="25.5" hidden="false" customHeight="true" outlineLevel="0" collapsed="false">
      <c r="A26" s="16" t="n">
        <v>25</v>
      </c>
      <c r="B26" s="16" t="s">
        <v>369</v>
      </c>
      <c r="C26" s="17" t="s">
        <v>160</v>
      </c>
      <c r="D26" s="20" t="s">
        <v>74</v>
      </c>
      <c r="E26" s="22" t="s">
        <v>116</v>
      </c>
      <c r="F26" s="16" t="s">
        <v>342</v>
      </c>
      <c r="G26" s="24" t="s">
        <v>194</v>
      </c>
    </row>
    <row r="27" customFormat="false" ht="25.5" hidden="false" customHeight="true" outlineLevel="0" collapsed="false">
      <c r="A27" s="16" t="n">
        <v>26</v>
      </c>
      <c r="B27" s="16" t="s">
        <v>370</v>
      </c>
      <c r="C27" s="17" t="s">
        <v>162</v>
      </c>
      <c r="D27" s="20" t="s">
        <v>74</v>
      </c>
      <c r="E27" s="22" t="s">
        <v>116</v>
      </c>
      <c r="F27" s="16" t="s">
        <v>342</v>
      </c>
      <c r="G27" s="24" t="s">
        <v>194</v>
      </c>
    </row>
    <row r="28" customFormat="false" ht="25.5" hidden="false" customHeight="true" outlineLevel="0" collapsed="false">
      <c r="A28" s="16" t="n">
        <v>27</v>
      </c>
      <c r="B28" s="16" t="s">
        <v>371</v>
      </c>
      <c r="C28" s="17" t="s">
        <v>164</v>
      </c>
      <c r="D28" s="20" t="s">
        <v>74</v>
      </c>
      <c r="E28" s="22" t="s">
        <v>116</v>
      </c>
      <c r="F28" s="16" t="s">
        <v>342</v>
      </c>
      <c r="G28" s="24" t="s">
        <v>194</v>
      </c>
    </row>
    <row r="29" customFormat="false" ht="25.5" hidden="false" customHeight="true" outlineLevel="0" collapsed="false">
      <c r="A29" s="16" t="n">
        <v>28</v>
      </c>
      <c r="B29" s="16" t="s">
        <v>372</v>
      </c>
      <c r="C29" s="17" t="s">
        <v>167</v>
      </c>
      <c r="D29" s="20" t="s">
        <v>94</v>
      </c>
      <c r="E29" s="22" t="s">
        <v>116</v>
      </c>
      <c r="F29" s="16" t="s">
        <v>342</v>
      </c>
      <c r="G29" s="24" t="s">
        <v>194</v>
      </c>
    </row>
    <row r="30" customFormat="false" ht="25.5" hidden="false" customHeight="true" outlineLevel="0" collapsed="false">
      <c r="A30" s="16" t="n">
        <v>29</v>
      </c>
      <c r="B30" s="16" t="s">
        <v>373</v>
      </c>
      <c r="C30" s="17" t="s">
        <v>169</v>
      </c>
      <c r="D30" s="20" t="s">
        <v>74</v>
      </c>
      <c r="E30" s="22" t="s">
        <v>116</v>
      </c>
      <c r="F30" s="16" t="s">
        <v>342</v>
      </c>
      <c r="G30" s="24" t="s">
        <v>194</v>
      </c>
    </row>
    <row r="31" customFormat="false" ht="25.5" hidden="false" customHeight="true" outlineLevel="0" collapsed="false">
      <c r="A31" s="16" t="n">
        <v>30</v>
      </c>
      <c r="B31" s="16" t="s">
        <v>374</v>
      </c>
      <c r="C31" s="17" t="s">
        <v>172</v>
      </c>
      <c r="D31" s="20" t="s">
        <v>94</v>
      </c>
      <c r="E31" s="22" t="s">
        <v>116</v>
      </c>
      <c r="F31" s="16" t="s">
        <v>342</v>
      </c>
      <c r="G31" s="24" t="s">
        <v>194</v>
      </c>
    </row>
    <row r="32" customFormat="false" ht="25.5" hidden="false" customHeight="true" outlineLevel="0" collapsed="false">
      <c r="A32" s="16" t="n">
        <v>31</v>
      </c>
      <c r="B32" s="16" t="s">
        <v>375</v>
      </c>
      <c r="C32" s="17" t="s">
        <v>175</v>
      </c>
      <c r="D32" s="20" t="s">
        <v>178</v>
      </c>
      <c r="E32" s="23" t="s">
        <v>177</v>
      </c>
      <c r="F32" s="16" t="s">
        <v>342</v>
      </c>
      <c r="G32" s="24" t="s">
        <v>194</v>
      </c>
    </row>
  </sheetData>
  <autoFilter ref="A2:G3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52"/>
    <col collapsed="false" customWidth="true" hidden="false" outlineLevel="0" max="4" min="4" style="1" width="16"/>
  </cols>
  <sheetData>
    <row r="1" customFormat="false" ht="15" hidden="false" customHeight="true" outlineLevel="0" collapsed="false">
      <c r="A1" s="14" t="s">
        <v>376</v>
      </c>
      <c r="B1" s="14"/>
      <c r="C1" s="14"/>
      <c r="D1" s="14"/>
    </row>
    <row r="2" customFormat="false" ht="15" hidden="false" customHeight="true" outlineLevel="0" collapsed="false">
      <c r="A2" s="15" t="s">
        <v>377</v>
      </c>
      <c r="B2" s="15" t="s">
        <v>378</v>
      </c>
      <c r="C2" s="15" t="s">
        <v>379</v>
      </c>
      <c r="D2" s="15" t="s">
        <v>380</v>
      </c>
    </row>
    <row r="3" customFormat="false" ht="25.5" hidden="false" customHeight="true" outlineLevel="0" collapsed="false">
      <c r="A3" s="28" t="s">
        <v>381</v>
      </c>
      <c r="B3" s="17" t="s">
        <v>382</v>
      </c>
      <c r="C3" s="20" t="s">
        <v>383</v>
      </c>
      <c r="D3" s="17" t="s">
        <v>384</v>
      </c>
    </row>
    <row r="4" customFormat="false" ht="25.5" hidden="false" customHeight="true" outlineLevel="0" collapsed="false">
      <c r="A4" s="28" t="s">
        <v>381</v>
      </c>
      <c r="B4" s="17" t="s">
        <v>385</v>
      </c>
      <c r="C4" s="20" t="s">
        <v>386</v>
      </c>
      <c r="D4" s="17" t="s">
        <v>384</v>
      </c>
    </row>
    <row r="5" customFormat="false" ht="25.5" hidden="false" customHeight="true" outlineLevel="0" collapsed="false">
      <c r="A5" s="28" t="s">
        <v>381</v>
      </c>
      <c r="B5" s="17" t="s">
        <v>387</v>
      </c>
      <c r="C5" s="20" t="s">
        <v>388</v>
      </c>
      <c r="D5" s="17" t="s">
        <v>389</v>
      </c>
    </row>
    <row r="6" customFormat="false" ht="25.5" hidden="false" customHeight="true" outlineLevel="0" collapsed="false">
      <c r="A6" s="23" t="s">
        <v>390</v>
      </c>
      <c r="B6" s="17" t="s">
        <v>391</v>
      </c>
      <c r="C6" s="20" t="s">
        <v>392</v>
      </c>
      <c r="D6" s="17" t="s">
        <v>389</v>
      </c>
    </row>
    <row r="7" customFormat="false" ht="25.5" hidden="false" customHeight="true" outlineLevel="0" collapsed="false">
      <c r="A7" s="23" t="s">
        <v>390</v>
      </c>
      <c r="B7" s="17" t="s">
        <v>393</v>
      </c>
      <c r="C7" s="20" t="s">
        <v>394</v>
      </c>
      <c r="D7" s="17" t="s">
        <v>395</v>
      </c>
    </row>
    <row r="8" customFormat="false" ht="25.5" hidden="false" customHeight="true" outlineLevel="0" collapsed="false">
      <c r="A8" s="23" t="s">
        <v>390</v>
      </c>
      <c r="B8" s="17" t="s">
        <v>396</v>
      </c>
      <c r="C8" s="20" t="s">
        <v>397</v>
      </c>
      <c r="D8" s="17" t="s">
        <v>384</v>
      </c>
    </row>
    <row r="9" customFormat="false" ht="25.5" hidden="false" customHeight="true" outlineLevel="0" collapsed="false">
      <c r="A9" s="22" t="s">
        <v>253</v>
      </c>
      <c r="B9" s="17" t="s">
        <v>398</v>
      </c>
      <c r="C9" s="20" t="s">
        <v>399</v>
      </c>
      <c r="D9" s="17" t="s">
        <v>37</v>
      </c>
    </row>
    <row r="10" customFormat="false" ht="25.5" hidden="false" customHeight="true" outlineLevel="0" collapsed="false">
      <c r="A10" s="22" t="s">
        <v>253</v>
      </c>
      <c r="B10" s="17" t="s">
        <v>400</v>
      </c>
      <c r="C10" s="20" t="s">
        <v>401</v>
      </c>
      <c r="D10" s="17" t="s">
        <v>402</v>
      </c>
    </row>
    <row r="11" customFormat="false" ht="25.5" hidden="false" customHeight="true" outlineLevel="0" collapsed="false">
      <c r="A11" s="22" t="s">
        <v>253</v>
      </c>
      <c r="B11" s="17" t="s">
        <v>403</v>
      </c>
      <c r="C11" s="20" t="s">
        <v>404</v>
      </c>
      <c r="D11" s="17" t="s">
        <v>389</v>
      </c>
    </row>
    <row r="12" customFormat="false" ht="25.5" hidden="false" customHeight="true" outlineLevel="0" collapsed="false">
      <c r="A12" s="29" t="s">
        <v>405</v>
      </c>
      <c r="B12" s="17" t="s">
        <v>406</v>
      </c>
      <c r="C12" s="20" t="s">
        <v>407</v>
      </c>
      <c r="D12" s="17" t="s">
        <v>395</v>
      </c>
    </row>
    <row r="13" customFormat="false" ht="25.5" hidden="false" customHeight="true" outlineLevel="0" collapsed="false">
      <c r="A13" s="29" t="s">
        <v>405</v>
      </c>
      <c r="B13" s="17" t="s">
        <v>408</v>
      </c>
      <c r="C13" s="20" t="s">
        <v>409</v>
      </c>
      <c r="D13" s="17" t="s">
        <v>38</v>
      </c>
    </row>
    <row r="14" customFormat="false" ht="25.5" hidden="false" customHeight="true" outlineLevel="0" collapsed="false">
      <c r="A14" s="29" t="s">
        <v>405</v>
      </c>
      <c r="B14" s="17" t="s">
        <v>410</v>
      </c>
      <c r="C14" s="20" t="s">
        <v>411</v>
      </c>
      <c r="D14" s="17" t="s">
        <v>412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14"/>
    <col collapsed="false" customWidth="true" hidden="false" outlineLevel="0" max="6" min="6" style="1" width="16"/>
  </cols>
  <sheetData>
    <row r="1" customFormat="false" ht="15" hidden="false" customHeight="true" outlineLevel="0" collapsed="false">
      <c r="A1" s="14" t="s">
        <v>413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15" t="s">
        <v>337</v>
      </c>
      <c r="B2" s="15" t="s">
        <v>414</v>
      </c>
      <c r="C2" s="15" t="s">
        <v>415</v>
      </c>
      <c r="D2" s="15" t="s">
        <v>416</v>
      </c>
      <c r="E2" s="15" t="s">
        <v>380</v>
      </c>
      <c r="F2" s="15" t="s">
        <v>417</v>
      </c>
    </row>
    <row r="3" customFormat="false" ht="25.5" hidden="false" customHeight="true" outlineLevel="0" collapsed="false">
      <c r="A3" s="17" t="s">
        <v>418</v>
      </c>
      <c r="B3" s="17" t="s">
        <v>419</v>
      </c>
      <c r="C3" s="20" t="s">
        <v>420</v>
      </c>
      <c r="D3" s="20" t="s">
        <v>421</v>
      </c>
      <c r="E3" s="17" t="s">
        <v>389</v>
      </c>
      <c r="F3" s="23" t="s">
        <v>422</v>
      </c>
    </row>
    <row r="4" customFormat="false" ht="25.5" hidden="false" customHeight="true" outlineLevel="0" collapsed="false">
      <c r="A4" s="17" t="s">
        <v>423</v>
      </c>
      <c r="B4" s="17" t="s">
        <v>424</v>
      </c>
      <c r="C4" s="20" t="s">
        <v>425</v>
      </c>
      <c r="D4" s="20" t="s">
        <v>426</v>
      </c>
      <c r="E4" s="17" t="s">
        <v>389</v>
      </c>
      <c r="F4" s="23" t="s">
        <v>427</v>
      </c>
    </row>
    <row r="5" customFormat="false" ht="25.5" hidden="false" customHeight="true" outlineLevel="0" collapsed="false">
      <c r="A5" s="17" t="s">
        <v>423</v>
      </c>
      <c r="B5" s="17" t="s">
        <v>428</v>
      </c>
      <c r="C5" s="20" t="s">
        <v>429</v>
      </c>
      <c r="D5" s="20" t="s">
        <v>430</v>
      </c>
      <c r="E5" s="17" t="s">
        <v>389</v>
      </c>
      <c r="F5" s="23" t="s">
        <v>431</v>
      </c>
    </row>
    <row r="6" customFormat="false" ht="25.5" hidden="false" customHeight="true" outlineLevel="0" collapsed="false">
      <c r="A6" s="17" t="s">
        <v>423</v>
      </c>
      <c r="B6" s="17" t="s">
        <v>432</v>
      </c>
      <c r="C6" s="20" t="s">
        <v>311</v>
      </c>
      <c r="D6" s="20" t="s">
        <v>433</v>
      </c>
      <c r="E6" s="17" t="s">
        <v>389</v>
      </c>
      <c r="F6" s="23" t="s">
        <v>434</v>
      </c>
    </row>
    <row r="7" customFormat="false" ht="25.5" hidden="false" customHeight="true" outlineLevel="0" collapsed="false">
      <c r="A7" s="17" t="s">
        <v>423</v>
      </c>
      <c r="B7" s="17" t="s">
        <v>435</v>
      </c>
      <c r="C7" s="20" t="s">
        <v>429</v>
      </c>
      <c r="D7" s="20" t="s">
        <v>436</v>
      </c>
      <c r="E7" s="17" t="s">
        <v>389</v>
      </c>
      <c r="F7" s="23" t="s">
        <v>434</v>
      </c>
    </row>
    <row r="8" customFormat="false" ht="25.5" hidden="false" customHeight="true" outlineLevel="0" collapsed="false">
      <c r="A8" s="30" t="s">
        <v>418</v>
      </c>
      <c r="B8" s="31" t="s">
        <v>87</v>
      </c>
      <c r="C8" s="21" t="s">
        <v>437</v>
      </c>
      <c r="D8" s="21" t="s">
        <v>438</v>
      </c>
      <c r="E8" s="31" t="s">
        <v>389</v>
      </c>
      <c r="F8" s="32" t="s">
        <v>439</v>
      </c>
    </row>
    <row r="9" customFormat="false" ht="25.5" hidden="false" customHeight="true" outlineLevel="0" collapsed="false">
      <c r="A9" s="30" t="s">
        <v>418</v>
      </c>
      <c r="B9" s="31" t="s">
        <v>66</v>
      </c>
      <c r="C9" s="21" t="s">
        <v>437</v>
      </c>
      <c r="D9" s="21" t="s">
        <v>440</v>
      </c>
      <c r="E9" s="31" t="s">
        <v>389</v>
      </c>
      <c r="F9" s="32" t="s">
        <v>441</v>
      </c>
    </row>
    <row r="10" customFormat="false" ht="25.5" hidden="false" customHeight="true" outlineLevel="0" collapsed="false">
      <c r="A10" s="30" t="s">
        <v>418</v>
      </c>
      <c r="B10" s="31" t="s">
        <v>104</v>
      </c>
      <c r="C10" s="21" t="s">
        <v>437</v>
      </c>
      <c r="D10" s="21" t="s">
        <v>442</v>
      </c>
      <c r="E10" s="31" t="s">
        <v>389</v>
      </c>
      <c r="F10" s="32" t="s">
        <v>443</v>
      </c>
    </row>
    <row r="11" customFormat="false" ht="25.5" hidden="false" customHeight="true" outlineLevel="0" collapsed="false">
      <c r="A11" s="30" t="s">
        <v>418</v>
      </c>
      <c r="B11" s="31" t="s">
        <v>444</v>
      </c>
      <c r="C11" s="21" t="s">
        <v>437</v>
      </c>
      <c r="D11" s="21" t="s">
        <v>445</v>
      </c>
      <c r="E11" s="31" t="s">
        <v>389</v>
      </c>
      <c r="F11" s="32" t="s">
        <v>446</v>
      </c>
    </row>
    <row r="12" customFormat="false" ht="25.5" hidden="false" customHeight="true" outlineLevel="0" collapsed="false">
      <c r="A12" s="30" t="s">
        <v>418</v>
      </c>
      <c r="B12" s="31" t="s">
        <v>101</v>
      </c>
      <c r="C12" s="21" t="s">
        <v>447</v>
      </c>
      <c r="D12" s="21" t="s">
        <v>448</v>
      </c>
      <c r="E12" s="31" t="s">
        <v>389</v>
      </c>
      <c r="F12" s="32" t="s">
        <v>449</v>
      </c>
    </row>
  </sheetData>
  <autoFilter ref="A2:F10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14" min="3" style="1" width="5"/>
    <col collapsed="false" customWidth="true" hidden="false" outlineLevel="0" max="15" min="15" style="1" width="12"/>
  </cols>
  <sheetData>
    <row r="1" customFormat="false" ht="15" hidden="false" customHeight="true" outlineLevel="0" collapsed="false">
      <c r="A1" s="14" t="s">
        <v>450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Format="false" ht="15" hidden="false" customHeight="true" outlineLevel="0" collapsed="false">
      <c r="A2" s="15" t="s">
        <v>451</v>
      </c>
      <c r="B2" s="15" t="s">
        <v>182</v>
      </c>
      <c r="C2" s="15" t="s">
        <v>452</v>
      </c>
      <c r="D2" s="15" t="s">
        <v>453</v>
      </c>
      <c r="E2" s="15" t="s">
        <v>454</v>
      </c>
      <c r="F2" s="15" t="s">
        <v>455</v>
      </c>
      <c r="G2" s="15" t="s">
        <v>456</v>
      </c>
      <c r="H2" s="15" t="s">
        <v>457</v>
      </c>
      <c r="I2" s="15" t="s">
        <v>458</v>
      </c>
      <c r="J2" s="15" t="s">
        <v>459</v>
      </c>
      <c r="K2" s="15" t="s">
        <v>460</v>
      </c>
      <c r="L2" s="15" t="s">
        <v>461</v>
      </c>
      <c r="M2" s="15" t="s">
        <v>462</v>
      </c>
      <c r="N2" s="15" t="s">
        <v>463</v>
      </c>
      <c r="O2" s="15" t="s">
        <v>185</v>
      </c>
    </row>
    <row r="3" customFormat="false" ht="25.5" hidden="false" customHeight="true" outlineLevel="0" collapsed="false">
      <c r="A3" s="33" t="s">
        <v>464</v>
      </c>
      <c r="B3" s="9" t="s">
        <v>465</v>
      </c>
      <c r="C3" s="34"/>
      <c r="D3" s="34"/>
      <c r="E3" s="35"/>
      <c r="F3" s="35"/>
      <c r="G3" s="35"/>
      <c r="H3" s="35"/>
      <c r="I3" s="35"/>
      <c r="J3" s="35"/>
      <c r="K3" s="35"/>
      <c r="L3" s="35"/>
      <c r="M3" s="35"/>
      <c r="N3" s="35"/>
      <c r="O3" s="36" t="s">
        <v>72</v>
      </c>
    </row>
    <row r="4" customFormat="false" ht="25.5" hidden="false" customHeight="true" outlineLevel="0" collapsed="false">
      <c r="A4" s="33" t="s">
        <v>466</v>
      </c>
      <c r="B4" s="9" t="s">
        <v>467</v>
      </c>
      <c r="C4" s="35"/>
      <c r="D4" s="34"/>
      <c r="E4" s="34"/>
      <c r="F4" s="34"/>
      <c r="G4" s="35"/>
      <c r="H4" s="35"/>
      <c r="I4" s="35"/>
      <c r="J4" s="35"/>
      <c r="K4" s="35"/>
      <c r="L4" s="35"/>
      <c r="M4" s="35"/>
      <c r="N4" s="35"/>
      <c r="O4" s="36" t="s">
        <v>72</v>
      </c>
    </row>
    <row r="5" customFormat="false" ht="25.5" hidden="false" customHeight="true" outlineLevel="0" collapsed="false">
      <c r="A5" s="33" t="s">
        <v>468</v>
      </c>
      <c r="B5" s="9" t="s">
        <v>469</v>
      </c>
      <c r="C5" s="35"/>
      <c r="D5" s="35"/>
      <c r="E5" s="34"/>
      <c r="F5" s="34"/>
      <c r="G5" s="34"/>
      <c r="H5" s="34"/>
      <c r="I5" s="35"/>
      <c r="J5" s="35"/>
      <c r="K5" s="35"/>
      <c r="L5" s="35"/>
      <c r="M5" s="35"/>
      <c r="N5" s="35"/>
      <c r="O5" s="37" t="s">
        <v>194</v>
      </c>
    </row>
    <row r="6" customFormat="false" ht="25.5" hidden="false" customHeight="true" outlineLevel="0" collapsed="false">
      <c r="A6" s="33" t="s">
        <v>470</v>
      </c>
      <c r="B6" s="9" t="s">
        <v>471</v>
      </c>
      <c r="C6" s="35"/>
      <c r="D6" s="35"/>
      <c r="E6" s="35"/>
      <c r="F6" s="35"/>
      <c r="G6" s="34"/>
      <c r="H6" s="34"/>
      <c r="I6" s="34"/>
      <c r="J6" s="34"/>
      <c r="K6" s="35"/>
      <c r="L6" s="35"/>
      <c r="M6" s="35"/>
      <c r="N6" s="35"/>
      <c r="O6" s="37" t="s">
        <v>194</v>
      </c>
    </row>
    <row r="7" customFormat="false" ht="25.5" hidden="false" customHeight="true" outlineLevel="0" collapsed="false">
      <c r="A7" s="33" t="s">
        <v>472</v>
      </c>
      <c r="B7" s="9" t="s">
        <v>473</v>
      </c>
      <c r="C7" s="35"/>
      <c r="D7" s="35"/>
      <c r="E7" s="35"/>
      <c r="F7" s="35"/>
      <c r="G7" s="35"/>
      <c r="H7" s="35"/>
      <c r="I7" s="34"/>
      <c r="J7" s="34"/>
      <c r="K7" s="34"/>
      <c r="L7" s="34"/>
      <c r="M7" s="34"/>
      <c r="N7" s="34"/>
      <c r="O7" s="37" t="s">
        <v>194</v>
      </c>
    </row>
    <row r="8" customFormat="false" ht="25.5" hidden="false" customHeight="true" outlineLevel="0" collapsed="false">
      <c r="A8" s="33" t="s">
        <v>474</v>
      </c>
      <c r="B8" s="9" t="s">
        <v>475</v>
      </c>
      <c r="C8" s="35"/>
      <c r="D8" s="35"/>
      <c r="E8" s="35"/>
      <c r="F8" s="35"/>
      <c r="G8" s="35"/>
      <c r="H8" s="34"/>
      <c r="I8" s="34"/>
      <c r="J8" s="34"/>
      <c r="K8" s="34"/>
      <c r="L8" s="34"/>
      <c r="M8" s="35"/>
      <c r="N8" s="35"/>
      <c r="O8" s="37" t="s">
        <v>194</v>
      </c>
    </row>
    <row r="9" customFormat="false" ht="25.5" hidden="false" customHeight="true" outlineLevel="0" collapsed="false">
      <c r="A9" s="33" t="s">
        <v>476</v>
      </c>
      <c r="B9" s="9" t="s">
        <v>477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6" t="s">
        <v>72</v>
      </c>
    </row>
    <row r="10" customFormat="false" ht="25.5" hidden="false" customHeight="true" outlineLevel="0" collapsed="false">
      <c r="A10" s="33" t="s">
        <v>478</v>
      </c>
      <c r="B10" s="9" t="s">
        <v>479</v>
      </c>
      <c r="C10" s="35"/>
      <c r="D10" s="35"/>
      <c r="E10" s="35"/>
      <c r="F10" s="34"/>
      <c r="G10" s="34"/>
      <c r="H10" s="34"/>
      <c r="I10" s="34"/>
      <c r="J10" s="34"/>
      <c r="K10" s="34"/>
      <c r="L10" s="34"/>
      <c r="M10" s="34"/>
      <c r="N10" s="34"/>
      <c r="O10" s="37" t="s">
        <v>194</v>
      </c>
    </row>
    <row r="11" customFormat="false" ht="25.5" hidden="false" customHeight="true" outlineLevel="0" collapsed="false">
      <c r="A11" s="33" t="s">
        <v>480</v>
      </c>
      <c r="B11" s="9" t="s">
        <v>481</v>
      </c>
      <c r="C11" s="35"/>
      <c r="D11" s="35"/>
      <c r="E11" s="35"/>
      <c r="F11" s="35"/>
      <c r="G11" s="35"/>
      <c r="H11" s="34"/>
      <c r="I11" s="34"/>
      <c r="J11" s="34"/>
      <c r="K11" s="34"/>
      <c r="L11" s="34"/>
      <c r="M11" s="34"/>
      <c r="N11" s="34"/>
      <c r="O11" s="37" t="s">
        <v>194</v>
      </c>
    </row>
    <row r="12" customFormat="false" ht="25.5" hidden="false" customHeight="true" outlineLevel="0" collapsed="false">
      <c r="A12" s="33" t="s">
        <v>482</v>
      </c>
      <c r="B12" s="9" t="s">
        <v>483</v>
      </c>
      <c r="C12" s="35"/>
      <c r="D12" s="35"/>
      <c r="E12" s="35"/>
      <c r="F12" s="35"/>
      <c r="G12" s="35"/>
      <c r="H12" s="35"/>
      <c r="I12" s="35"/>
      <c r="J12" s="35"/>
      <c r="K12" s="34"/>
      <c r="L12" s="34"/>
      <c r="M12" s="34"/>
      <c r="N12" s="34"/>
      <c r="O12" s="37" t="s">
        <v>194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0"/>
  </cols>
  <sheetData>
    <row r="1" customFormat="false" ht="15" hidden="false" customHeight="true" outlineLevel="0" collapsed="false">
      <c r="A1" s="14" t="s">
        <v>484</v>
      </c>
      <c r="B1" s="14"/>
      <c r="C1" s="14"/>
      <c r="D1" s="14"/>
      <c r="E1" s="14"/>
      <c r="F1" s="14"/>
    </row>
    <row r="2" customFormat="false" ht="23.25" hidden="false" customHeight="true" outlineLevel="0" collapsed="false">
      <c r="A2" s="15" t="s">
        <v>485</v>
      </c>
      <c r="B2" s="15" t="s">
        <v>486</v>
      </c>
      <c r="C2" s="15" t="s">
        <v>487</v>
      </c>
      <c r="D2" s="15" t="s">
        <v>488</v>
      </c>
      <c r="E2" s="15" t="s">
        <v>377</v>
      </c>
      <c r="F2" s="15" t="s">
        <v>489</v>
      </c>
    </row>
    <row r="3" customFormat="false" ht="25.5" hidden="false" customHeight="true" outlineLevel="0" collapsed="false">
      <c r="A3" s="17" t="s">
        <v>490</v>
      </c>
      <c r="B3" s="20" t="s">
        <v>491</v>
      </c>
      <c r="C3" s="38" t="str">
        <f aca="false">COUNTIF('Tabla Maestra'!F2:F40,"*Astro 6*")&amp;" / 31"</f>
        <v>8 / 31</v>
      </c>
      <c r="D3" s="26" t="s">
        <v>8</v>
      </c>
      <c r="E3" s="17" t="s">
        <v>253</v>
      </c>
      <c r="F3" s="17" t="s">
        <v>492</v>
      </c>
    </row>
    <row r="4" customFormat="false" ht="25.5" hidden="false" customHeight="true" outlineLevel="0" collapsed="false">
      <c r="A4" s="17" t="s">
        <v>493</v>
      </c>
      <c r="B4" s="20" t="s">
        <v>494</v>
      </c>
      <c r="C4" s="38" t="s">
        <v>330</v>
      </c>
      <c r="D4" s="26" t="s">
        <v>8</v>
      </c>
      <c r="E4" s="17" t="s">
        <v>390</v>
      </c>
      <c r="F4" s="17" t="s">
        <v>495</v>
      </c>
    </row>
    <row r="5" customFormat="false" ht="25.5" hidden="false" customHeight="true" outlineLevel="0" collapsed="false">
      <c r="A5" s="17" t="s">
        <v>496</v>
      </c>
      <c r="B5" s="20" t="s">
        <v>497</v>
      </c>
      <c r="C5" s="38" t="str">
        <f aca="false">COUNTIF('Tabla Maestra'!N2:N40,"OK")&amp;" / 31"</f>
        <v>28 / 31</v>
      </c>
      <c r="D5" s="26" t="s">
        <v>8</v>
      </c>
      <c r="E5" s="17" t="s">
        <v>253</v>
      </c>
      <c r="F5" s="17" t="s">
        <v>492</v>
      </c>
    </row>
    <row r="6" customFormat="false" ht="25.5" hidden="false" customHeight="true" outlineLevel="0" collapsed="false">
      <c r="A6" s="17" t="s">
        <v>498</v>
      </c>
      <c r="B6" s="20" t="s">
        <v>499</v>
      </c>
      <c r="C6" s="38" t="str">
        <f aca="false">COUNTIF('Tabla Maestra'!K2:K40,"OK")&amp;" / 31"</f>
        <v>8 / 31</v>
      </c>
      <c r="D6" s="26" t="s">
        <v>8</v>
      </c>
      <c r="E6" s="17" t="s">
        <v>253</v>
      </c>
      <c r="F6" s="17" t="s">
        <v>492</v>
      </c>
    </row>
    <row r="7" customFormat="false" ht="25.5" hidden="false" customHeight="true" outlineLevel="0" collapsed="false">
      <c r="A7" s="17" t="s">
        <v>500</v>
      </c>
      <c r="B7" s="20" t="s">
        <v>501</v>
      </c>
      <c r="C7" s="38" t="str">
        <f aca="false">COUNTIF('Tabla Maestra'!O2:O40,"OK")+COUNTIF('Tabla Maestra'!O2:O40,"Mejorar")&amp;" / 31"</f>
        <v>24 / 31</v>
      </c>
      <c r="D7" s="26" t="s">
        <v>8</v>
      </c>
      <c r="E7" s="17" t="s">
        <v>253</v>
      </c>
      <c r="F7" s="17" t="s">
        <v>492</v>
      </c>
    </row>
    <row r="8" customFormat="false" ht="25.5" hidden="false" customHeight="true" outlineLevel="0" collapsed="false">
      <c r="A8" s="17" t="s">
        <v>502</v>
      </c>
      <c r="B8" s="20" t="s">
        <v>503</v>
      </c>
      <c r="C8" s="38" t="n">
        <f aca="false">SUM('Tabla Maestra'!U2:U40)</f>
        <v>290</v>
      </c>
      <c r="D8" s="26" t="s">
        <v>504</v>
      </c>
      <c r="E8" s="17" t="s">
        <v>253</v>
      </c>
      <c r="F8" s="17" t="s">
        <v>505</v>
      </c>
    </row>
    <row r="9" customFormat="false" ht="25.5" hidden="false" customHeight="true" outlineLevel="0" collapsed="false">
      <c r="A9" s="17" t="s">
        <v>506</v>
      </c>
      <c r="B9" s="20" t="s">
        <v>507</v>
      </c>
      <c r="C9" s="38" t="str">
        <f aca="false">COUNTIF('Tabla Maestra'!P2:P40,"OK")&amp;" / 31"</f>
        <v>28 / 31</v>
      </c>
      <c r="D9" s="26" t="s">
        <v>8</v>
      </c>
      <c r="E9" s="17" t="s">
        <v>253</v>
      </c>
      <c r="F9" s="17" t="s">
        <v>492</v>
      </c>
    </row>
    <row r="10" customFormat="false" ht="25.5" hidden="false" customHeight="true" outlineLevel="0" collapsed="false">
      <c r="A10" s="17" t="s">
        <v>319</v>
      </c>
      <c r="B10" s="20" t="s">
        <v>508</v>
      </c>
      <c r="C10" s="38" t="s">
        <v>8</v>
      </c>
      <c r="D10" s="26" t="s">
        <v>8</v>
      </c>
      <c r="E10" s="17" t="s">
        <v>190</v>
      </c>
      <c r="F10" s="17" t="s">
        <v>509</v>
      </c>
    </row>
    <row r="11" customFormat="false" ht="25.5" hidden="false" customHeight="true" outlineLevel="0" collapsed="false">
      <c r="A11" s="17" t="s">
        <v>510</v>
      </c>
      <c r="B11" s="20" t="s">
        <v>511</v>
      </c>
      <c r="C11" s="38" t="n">
        <f aca="false">COUNTIF('Tabla Maestra'!H2:H40,"P1")</f>
        <v>11</v>
      </c>
      <c r="D11" s="26" t="s">
        <v>512</v>
      </c>
      <c r="E11" s="17" t="s">
        <v>390</v>
      </c>
      <c r="F11" s="17" t="s">
        <v>492</v>
      </c>
    </row>
    <row r="12" customFormat="false" ht="25.5" hidden="false" customHeight="true" outlineLevel="0" collapsed="false">
      <c r="A12" s="17" t="s">
        <v>513</v>
      </c>
      <c r="B12" s="20" t="s">
        <v>514</v>
      </c>
      <c r="C12" s="38" t="s">
        <v>61</v>
      </c>
      <c r="D12" s="26" t="s">
        <v>515</v>
      </c>
      <c r="E12" s="17" t="s">
        <v>253</v>
      </c>
      <c r="F12" s="17" t="s">
        <v>516</v>
      </c>
    </row>
    <row r="13" customFormat="false" ht="25.5" hidden="false" customHeight="true" outlineLevel="0" collapsed="false">
      <c r="A13" s="17" t="s">
        <v>517</v>
      </c>
      <c r="B13" s="20" t="s">
        <v>518</v>
      </c>
      <c r="C13" s="38" t="s">
        <v>519</v>
      </c>
      <c r="D13" s="26" t="s">
        <v>8</v>
      </c>
      <c r="E13" s="17" t="s">
        <v>390</v>
      </c>
      <c r="F13" s="17" t="s">
        <v>520</v>
      </c>
    </row>
    <row r="14" customFormat="false" ht="25.5" hidden="false" customHeight="true" outlineLevel="0" collapsed="false">
      <c r="A14" s="17" t="s">
        <v>521</v>
      </c>
      <c r="B14" s="20" t="s">
        <v>522</v>
      </c>
      <c r="C14" s="38" t="s">
        <v>523</v>
      </c>
      <c r="D14" s="26" t="s">
        <v>524</v>
      </c>
      <c r="E14" s="17" t="s">
        <v>405</v>
      </c>
      <c r="F14" s="17" t="s">
        <v>525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2026-06-20T03:16:38Z</dcterms:created>
  <dc:creator>openpyxl</dc:creator>
  <dc:description/>
  <dc:language>en-US</dc:language>
  <cp:lastModifiedBy/>
  <dcterms:modified xsi:type="dcterms:W3CDTF">2026-06-20T03:34:26Z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
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eads CRM" sheetId="2" state="visible" r:id="rId2"/>
    <sheet xmlns:r="http://schemas.openxmlformats.org/officeDocument/2006/relationships" name="Guiones" sheetId="3" state="visible" r:id="rId3"/>
  </sheets>
  <definedNames>
    <definedName name="_xlnm._FilterDatabase" localSheetId="1" hidden="1">'Leads CRM'!$A$1:$S$48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color rgb="FF80808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20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40404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C0000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D32"/>
        <bgColor rgb="FF008000"/>
      </patternFill>
    </fill>
    <fill>
      <patternFill patternType="solid">
        <fgColor rgb="FFC9A84C"/>
        <bgColor rgb="FFFF9900"/>
      </patternFill>
    </fill>
    <fill>
      <patternFill patternType="solid">
        <fgColor rgb="FFB45309"/>
        <bgColor rgb="FF993366"/>
      </patternFill>
    </fill>
    <fill>
      <patternFill patternType="solid">
        <fgColor rgb="FFC6EFCE"/>
        <bgColor rgb="FFE2EFDA"/>
      </patternFill>
    </fill>
    <fill>
      <patternFill patternType="solid">
        <fgColor rgb="FFF2F5FA"/>
        <bgColor rgb="FFFFFFFF"/>
      </patternFill>
    </fill>
    <fill>
      <patternFill patternType="solid">
        <fgColor rgb="FFE2EFDA"/>
        <bgColor rgb="FFF2F5FA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4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general" vertical="center" wrapText="1"/>
    </xf>
    <xf numFmtId="0" fontId="15" fillId="6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center"/>
    </xf>
    <xf numFmtId="0" fontId="14" fillId="7" borderId="1" applyAlignment="1" pivotButton="0" quotePrefix="0" xfId="0">
      <alignment horizontal="general" vertical="center"/>
    </xf>
    <xf numFmtId="0" fontId="14" fillId="7" borderId="1" applyAlignment="1" pivotButton="0" quotePrefix="0" xfId="0">
      <alignment horizontal="general" vertical="center" wrapText="1"/>
    </xf>
    <xf numFmtId="0" fontId="16" fillId="7" borderId="1" applyAlignment="1" pivotButton="0" quotePrefix="0" xfId="0">
      <alignment horizontal="general" vertical="center"/>
    </xf>
    <xf numFmtId="0" fontId="15" fillId="8" borderId="1" applyAlignment="1" pivotButton="0" quotePrefix="0" xfId="0">
      <alignment horizontal="center" vertical="bottom"/>
    </xf>
    <xf numFmtId="0" fontId="15" fillId="9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4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general" vertical="center" wrapText="1"/>
    </xf>
    <xf numFmtId="0" fontId="15" fillId="6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center"/>
    </xf>
    <xf numFmtId="0" fontId="14" fillId="7" borderId="1" applyAlignment="1" pivotButton="0" quotePrefix="0" xfId="0">
      <alignment horizontal="general" vertical="center"/>
    </xf>
    <xf numFmtId="0" fontId="14" fillId="7" borderId="1" applyAlignment="1" pivotButton="0" quotePrefix="0" xfId="0">
      <alignment horizontal="general" vertical="center" wrapText="1"/>
    </xf>
    <xf numFmtId="0" fontId="16" fillId="7" borderId="1" applyAlignment="1" pivotButton="0" quotePrefix="0" xfId="0">
      <alignment horizontal="general" vertical="center"/>
    </xf>
    <xf numFmtId="0" fontId="15" fillId="8" borderId="1" applyAlignment="1" pivotButton="0" quotePrefix="0" xfId="0">
      <alignment horizontal="center" vertical="bottom"/>
    </xf>
    <xf numFmtId="0" fontId="15" fillId="9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2E7D32"/>
      <rgbColor rgb="FF003300"/>
      <rgbColor rgb="FF333300"/>
      <rgbColor rgb="FFB45309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a.me/525574800781" TargetMode="External" Id="rId1"/><Relationship Type="http://schemas.openxmlformats.org/officeDocument/2006/relationships/hyperlink" Target="https://wa.me/525535149500" TargetMode="External" Id="rId2"/><Relationship Type="http://schemas.openxmlformats.org/officeDocument/2006/relationships/hyperlink" Target="https://wa.me/525541835463" TargetMode="External" Id="rId3"/><Relationship Type="http://schemas.openxmlformats.org/officeDocument/2006/relationships/hyperlink" Target="https://wa.me/525523059739" TargetMode="External" Id="rId4"/><Relationship Type="http://schemas.openxmlformats.org/officeDocument/2006/relationships/hyperlink" Target="https://wa.me/525541305843" TargetMode="External" Id="rId5"/><Relationship Type="http://schemas.openxmlformats.org/officeDocument/2006/relationships/hyperlink" Target="https://wa.me/525555933294" TargetMode="External" Id="rId6"/><Relationship Type="http://schemas.openxmlformats.org/officeDocument/2006/relationships/hyperlink" Target="https://wa.me/525557582840" TargetMode="External" Id="rId7"/><Relationship Type="http://schemas.openxmlformats.org/officeDocument/2006/relationships/hyperlink" Target="https://wa.me/525548081654" TargetMode="External" Id="rId8"/><Relationship Type="http://schemas.openxmlformats.org/officeDocument/2006/relationships/hyperlink" Target="https://wa.me/525564570614" TargetMode="External" Id="rId9"/><Relationship Type="http://schemas.openxmlformats.org/officeDocument/2006/relationships/hyperlink" Target="https://wa.me/525575963955" TargetMode="External" Id="rId10"/><Relationship Type="http://schemas.openxmlformats.org/officeDocument/2006/relationships/hyperlink" Target="https://wa.me/525561155500" TargetMode="External" Id="rId11"/><Relationship Type="http://schemas.openxmlformats.org/officeDocument/2006/relationships/hyperlink" Target="https://wa.me/525549128099" TargetMode="External" Id="rId12"/><Relationship Type="http://schemas.openxmlformats.org/officeDocument/2006/relationships/hyperlink" Target="https://wa.me/525555715297" TargetMode="External" Id="rId13"/><Relationship Type="http://schemas.openxmlformats.org/officeDocument/2006/relationships/hyperlink" Target="https://wa.me/525575314757" TargetMode="External" Id="rId14"/><Relationship Type="http://schemas.openxmlformats.org/officeDocument/2006/relationships/hyperlink" Target="https://wa.me/525557601407" TargetMode="External" Id="rId15"/><Relationship Type="http://schemas.openxmlformats.org/officeDocument/2006/relationships/hyperlink" Target="https://wa.me/525556174521" TargetMode="External" Id="rId16"/><Relationship Type="http://schemas.openxmlformats.org/officeDocument/2006/relationships/hyperlink" Target="https://wa.me/525561838580" TargetMode="External" Id="rId17"/><Relationship Type="http://schemas.openxmlformats.org/officeDocument/2006/relationships/hyperlink" Target="https://wa.me/525549190785" TargetMode="External" Id="rId18"/><Relationship Type="http://schemas.openxmlformats.org/officeDocument/2006/relationships/hyperlink" Target="https://wa.me/525552350018" TargetMode="External" Id="rId19"/><Relationship Type="http://schemas.openxmlformats.org/officeDocument/2006/relationships/hyperlink" Target="https://wa.me/525510098337" TargetMode="External" Id="rId20"/><Relationship Type="http://schemas.openxmlformats.org/officeDocument/2006/relationships/hyperlink" Target="https://wa.me/525544850451" TargetMode="External" Id="rId21"/><Relationship Type="http://schemas.openxmlformats.org/officeDocument/2006/relationships/hyperlink" Target="https://wa.me/525556199386" TargetMode="External" Id="rId22"/><Relationship Type="http://schemas.openxmlformats.org/officeDocument/2006/relationships/hyperlink" Target="https://wa.me/525522450473" TargetMode="External" Id="rId23"/><Relationship Type="http://schemas.openxmlformats.org/officeDocument/2006/relationships/hyperlink" Target="https://wa.me/525527983191" TargetMode="External" Id="rId24"/><Relationship Type="http://schemas.openxmlformats.org/officeDocument/2006/relationships/hyperlink" Target="https://wa.me/525611758800" TargetMode="External" Id="rId25"/><Relationship Type="http://schemas.openxmlformats.org/officeDocument/2006/relationships/hyperlink" Target="https://wa.me/525522351237" TargetMode="External" Id="rId26"/><Relationship Type="http://schemas.openxmlformats.org/officeDocument/2006/relationships/hyperlink" Target="https://wa.me/525561015232" TargetMode="External" Id="rId27"/><Relationship Type="http://schemas.openxmlformats.org/officeDocument/2006/relationships/hyperlink" Target="https://wa.me/525565194071" TargetMode="External" Id="rId28"/><Relationship Type="http://schemas.openxmlformats.org/officeDocument/2006/relationships/hyperlink" Target="https://wa.me/525566944836" TargetMode="External" Id="rId29"/><Relationship Type="http://schemas.openxmlformats.org/officeDocument/2006/relationships/hyperlink" Target="https://wa.me/525532345689" TargetMode="External" Id="rId30"/><Relationship Type="http://schemas.openxmlformats.org/officeDocument/2006/relationships/hyperlink" Target="https://wa.me/525562285726" TargetMode="External" Id="rId31"/><Relationship Type="http://schemas.openxmlformats.org/officeDocument/2006/relationships/hyperlink" Target="https://wa.me/525541408463" TargetMode="External" Id="rId32"/><Relationship Type="http://schemas.openxmlformats.org/officeDocument/2006/relationships/hyperlink" Target="https://wa.me/525551051774" TargetMode="External" Id="rId33"/><Relationship Type="http://schemas.openxmlformats.org/officeDocument/2006/relationships/hyperlink" Target="https://wa.me/525582731688" TargetMode="External" Id="rId34"/><Relationship Type="http://schemas.openxmlformats.org/officeDocument/2006/relationships/hyperlink" Target="https://wa.me/525523408146" TargetMode="External" Id="rId35"/><Relationship Type="http://schemas.openxmlformats.org/officeDocument/2006/relationships/hyperlink" Target="https://wa.me/525579477896" TargetMode="External" Id="rId36"/><Relationship Type="http://schemas.openxmlformats.org/officeDocument/2006/relationships/hyperlink" Target="https://wa.me/525531614795" TargetMode="External" Id="rId37"/><Relationship Type="http://schemas.openxmlformats.org/officeDocument/2006/relationships/hyperlink" Target="https://wa.me/525532517641" TargetMode="External" Id="rId38"/><Relationship Type="http://schemas.openxmlformats.org/officeDocument/2006/relationships/hyperlink" Target="https://wa.me/525626617074" TargetMode="External" Id="rId39"/><Relationship Type="http://schemas.openxmlformats.org/officeDocument/2006/relationships/hyperlink" Target="https://wa.me/525534792283" TargetMode="External" Id="rId40"/><Relationship Type="http://schemas.openxmlformats.org/officeDocument/2006/relationships/hyperlink" Target="https://wa.me/525527730538" TargetMode="External" Id="rId41"/><Relationship Type="http://schemas.openxmlformats.org/officeDocument/2006/relationships/hyperlink" Target="https://wa.me/525617622815" TargetMode="External" Id="rId42"/><Relationship Type="http://schemas.openxmlformats.org/officeDocument/2006/relationships/hyperlink" Target="https://wa.me/525566262784" TargetMode="External" Id="rId43"/><Relationship Type="http://schemas.openxmlformats.org/officeDocument/2006/relationships/hyperlink" Target="https://wa.me/525586697168" TargetMode="External" Id="rId44"/><Relationship Type="http://schemas.openxmlformats.org/officeDocument/2006/relationships/hyperlink" Target="https://wa.me/525552772027" TargetMode="External" Id="rId45"/><Relationship Type="http://schemas.openxmlformats.org/officeDocument/2006/relationships/hyperlink" Target="https://wa.me/525566731100" TargetMode="External" Id="rId46"/><Relationship Type="http://schemas.openxmlformats.org/officeDocument/2006/relationships/hyperlink" Target="https://wa.me/525612061872" TargetMode="External" Id="rId47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29" min="2" max="2"/>
    <col width="3" customWidth="1" style="29" min="3" max="3"/>
    <col width="18" customWidth="1" style="29" min="4" max="4"/>
    <col width="3" customWidth="1" style="29" min="5" max="5"/>
    <col width="18" customWidth="1" style="29" min="6" max="6"/>
    <col width="3" customWidth="1" style="29" min="7" max="7"/>
    <col width="18" customWidth="1" style="29" min="8" max="8"/>
  </cols>
  <sheetData>
    <row r="2" ht="19.7" customHeight="1" s="30">
      <c r="B2" s="31" t="inlineStr">
        <is>
          <t>CAMPAÑA mesaspicnic.com — CRM de Prospeccion</t>
        </is>
      </c>
    </row>
    <row r="3" ht="15" customHeight="1" s="30">
      <c r="B3" s="32" t="inlineStr">
        <is>
          <t>Renta de dominio posicionado | OrigenLab | Generado 2026-06-08 via Apify Google Maps (CDMX + Edomex)</t>
        </is>
      </c>
    </row>
    <row r="5" ht="15" customHeight="1" s="30">
      <c r="B5" s="33" t="inlineStr">
        <is>
          <t>Total leads nuevos</t>
        </is>
      </c>
      <c r="D5" s="34" t="inlineStr">
        <is>
          <t>Score 10 (top)</t>
        </is>
      </c>
      <c r="F5" s="35" t="inlineStr">
        <is>
          <t>Por contactar</t>
        </is>
      </c>
      <c r="H5" s="36" t="inlineStr">
        <is>
          <t>Respondieron</t>
        </is>
      </c>
    </row>
    <row r="6" ht="24.45" customHeight="1" s="30">
      <c r="B6" s="37">
        <f>COUNTA('Leads CRM'!B2:B48)</f>
        <v/>
      </c>
      <c r="D6" s="37">
        <f>COUNTIF('Leads CRM'!C2:C48,10)</f>
        <v/>
      </c>
      <c r="F6" s="37">
        <f>COUNTIF('Leads CRM'!O2:O48,"Por contactar")</f>
        <v/>
      </c>
      <c r="H6" s="37">
        <f>COUNTIF('Leads CRM'!O2:O48,"Respondio")</f>
        <v/>
      </c>
    </row>
    <row r="8" ht="15" customHeight="1" s="30">
      <c r="B8" s="38" t="inlineStr">
        <is>
          <t>Embudo de estado</t>
        </is>
      </c>
    </row>
    <row r="9" ht="15" customHeight="1" s="30">
      <c r="B9" s="39" t="inlineStr">
        <is>
          <t>Estado</t>
        </is>
      </c>
      <c r="C9" s="39" t="inlineStr">
        <is>
          <t>Conteo</t>
        </is>
      </c>
    </row>
    <row r="10" ht="15" customHeight="1" s="30">
      <c r="B10" s="40" t="inlineStr">
        <is>
          <t>Por contactar</t>
        </is>
      </c>
      <c r="C10" s="40">
        <f>COUNTIF('Leads CRM'!O2:O48,"Por contactar")</f>
        <v/>
      </c>
    </row>
    <row r="11" ht="15" customHeight="1" s="30">
      <c r="B11" s="40" t="inlineStr">
        <is>
          <t>Contactado</t>
        </is>
      </c>
      <c r="C11" s="40">
        <f>COUNTIF('Leads CRM'!O2:O48,"Contactado")</f>
        <v/>
      </c>
    </row>
    <row r="12" ht="15" customHeight="1" s="30">
      <c r="B12" s="40" t="inlineStr">
        <is>
          <t>Respondio</t>
        </is>
      </c>
      <c r="C12" s="40">
        <f>COUNTIF('Leads CRM'!O2:O48,"Respondio")</f>
        <v/>
      </c>
    </row>
    <row r="13" ht="15" customHeight="1" s="30">
      <c r="B13" s="40" t="inlineStr">
        <is>
          <t>En negociacion</t>
        </is>
      </c>
      <c r="C13" s="40">
        <f>COUNTIF('Leads CRM'!O2:O48,"En negociacion")</f>
        <v/>
      </c>
    </row>
    <row r="14" ht="15" customHeight="1" s="30">
      <c r="B14" s="40" t="inlineStr">
        <is>
          <t>Cerrado ganado</t>
        </is>
      </c>
      <c r="C14" s="40">
        <f>COUNTIF('Leads CRM'!O2:O48,"Cerrado ganado")</f>
        <v/>
      </c>
    </row>
    <row r="15" ht="15" customHeight="1" s="30">
      <c r="B15" s="40" t="inlineStr">
        <is>
          <t>Cerrado perdido</t>
        </is>
      </c>
      <c r="C15" s="40">
        <f>COUNTIF('Leads CRM'!O2:O48,"Cerrado perdido")</f>
        <v/>
      </c>
    </row>
    <row r="16" ht="15" customHeight="1" s="30">
      <c r="B16" s="40" t="inlineStr">
        <is>
          <t>No interesado</t>
        </is>
      </c>
      <c r="C16" s="40">
        <f>COUNTIF('Leads CRM'!O2:O48,"No interesado")</f>
        <v/>
      </c>
    </row>
    <row r="19" ht="15" customHeight="1" s="30">
      <c r="B19" s="41" t="inlineStr">
        <is>
          <t>Plan de hoy:</t>
        </is>
      </c>
    </row>
    <row r="21" ht="15" customHeight="1" s="30">
      <c r="B21" s="42" t="inlineStr">
        <is>
          <t>1. Empezar por los Score 10 (sin sitio web = mayor probabilidad de cierre).</t>
        </is>
      </c>
    </row>
    <row r="22" ht="15" customHeight="1" s="30">
      <c r="B22" s="42" t="inlineStr">
        <is>
          <t>2. Usar Script A Corto (3 msgs). Solo enviar detalle completo si responden.</t>
        </is>
      </c>
    </row>
    <row r="23" ht="15" customHeight="1" s="30">
      <c r="B23" s="42" t="inlineStr">
        <is>
          <t>3. Lotes de 5; atender respuestas antes de seguir contactando.</t>
        </is>
      </c>
    </row>
    <row r="24" ht="15" customHeight="1" s="30">
      <c r="B24" s="42" t="inlineStr">
        <is>
          <t>4. Marcar Estado y Respuesta en la hoja Leads CRM tras cada contacto.</t>
        </is>
      </c>
    </row>
    <row r="25" ht="15" customHeight="1" s="30">
      <c r="B25" s="42" t="inlineStr">
        <is>
          <t>5. Empresas con +150 resenas -&gt; Script B Premium (mas ejecutivo).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29" min="1" max="1"/>
    <col width="38" customWidth="1" style="29" min="2" max="2"/>
    <col width="7" customWidth="1" style="29" min="3" max="3"/>
    <col width="16" customWidth="1" style="29" min="4" max="4"/>
    <col width="13" customWidth="1" style="29" min="5" max="5"/>
    <col width="22" customWidth="1" style="29" min="6" max="7"/>
    <col width="26" customWidth="1" style="29" min="8" max="10"/>
    <col width="8" customWidth="1" style="29" min="11" max="11"/>
    <col width="9" customWidth="1" style="29" min="12" max="12"/>
    <col width="40" customWidth="1" style="29" min="13" max="13"/>
    <col width="16" customWidth="1" style="29" min="14" max="14"/>
    <col width="15" customWidth="1" style="29" min="15" max="15"/>
    <col width="28" customWidth="1" style="29" min="16" max="16"/>
    <col width="14" customWidth="1" style="29" min="17" max="17"/>
    <col width="16" customWidth="1" style="29" min="18" max="18"/>
    <col width="30" customWidth="1" style="29" min="19" max="19"/>
  </cols>
  <sheetData>
    <row r="1" ht="30" customHeight="1" s="30">
      <c r="A1" s="43" t="inlineStr">
        <is>
          <t>#</t>
        </is>
      </c>
      <c r="B1" s="43" t="inlineStr">
        <is>
          <t>Empresa</t>
        </is>
      </c>
      <c r="C1" s="43" t="inlineStr">
        <is>
          <t>Score</t>
        </is>
      </c>
      <c r="D1" s="43" t="inlineStr">
        <is>
          <t>Telefono</t>
        </is>
      </c>
      <c r="E1" s="43" t="inlineStr">
        <is>
          <t>WhatsApp (link)</t>
        </is>
      </c>
      <c r="F1" s="43" t="inlineStr">
        <is>
          <t>Categoria</t>
        </is>
      </c>
      <c r="G1" s="43" t="inlineStr">
        <is>
          <t>Zona</t>
        </is>
      </c>
      <c r="H1" s="43" t="inlineStr">
        <is>
          <t>Sitio web</t>
        </is>
      </c>
      <c r="I1" s="43" t="inlineStr">
        <is>
          <t>Email</t>
        </is>
      </c>
      <c r="J1" s="43" t="inlineStr">
        <is>
          <t>Instagram</t>
        </is>
      </c>
      <c r="K1" s="43" t="inlineStr">
        <is>
          <t>Rating</t>
        </is>
      </c>
      <c r="L1" s="43" t="inlineStr">
        <is>
          <t>Resenas</t>
        </is>
      </c>
      <c r="M1" s="43" t="inlineStr">
        <is>
          <t>Por que es buen prospecto</t>
        </is>
      </c>
      <c r="N1" s="43" t="inlineStr">
        <is>
          <t>Script sugerido</t>
        </is>
      </c>
      <c r="O1" s="43" t="inlineStr">
        <is>
          <t>Estado</t>
        </is>
      </c>
      <c r="P1" s="43" t="inlineStr">
        <is>
          <t>Respuesta</t>
        </is>
      </c>
      <c r="Q1" s="43" t="inlineStr">
        <is>
          <t>Fecha contacto</t>
        </is>
      </c>
      <c r="R1" s="43" t="inlineStr">
        <is>
          <t>Proximo seguimiento</t>
        </is>
      </c>
      <c r="S1" s="43" t="inlineStr">
        <is>
          <t>Notas</t>
        </is>
      </c>
    </row>
    <row r="2" ht="22.35" customHeight="1" s="30">
      <c r="A2" s="44" t="n">
        <v>1</v>
      </c>
      <c r="B2" s="45" t="inlineStr">
        <is>
          <t>Renta inflables sillas mesas brincolin Audio sonido taquizas meseros Miguel Hidalgo</t>
        </is>
      </c>
      <c r="C2" s="46" t="n">
        <v>10</v>
      </c>
      <c r="D2" s="44" t="inlineStr">
        <is>
          <t>+52 55 7480 0781</t>
        </is>
      </c>
      <c r="E2" s="47" t="inlineStr">
        <is>
          <t>Abrir chat</t>
        </is>
      </c>
      <c r="F2" s="44" t="inlineStr">
        <is>
          <t>Alquiler equipos para fiestas</t>
        </is>
      </c>
      <c r="G2" s="44" t="inlineStr">
        <is>
          <t>Torre Blanca</t>
        </is>
      </c>
      <c r="H2" s="44" t="n"/>
      <c r="I2" s="44" t="n"/>
      <c r="J2" s="44" t="n"/>
      <c r="K2" s="44" t="n">
        <v>4.9</v>
      </c>
      <c r="L2" s="44" t="n">
        <v>166</v>
      </c>
      <c r="M2" s="45" t="inlineStr">
        <is>
          <t>Renta mobiliario/sillas/mesas (nicho core); sin web (alto potencial)</t>
        </is>
      </c>
      <c r="N2" s="44" t="inlineStr">
        <is>
          <t>B Premium</t>
        </is>
      </c>
      <c r="O2" s="44" t="inlineStr">
        <is>
          <t>Contactado</t>
        </is>
      </c>
      <c r="P2" s="44" t="n"/>
      <c r="Q2" s="44" t="n"/>
      <c r="R2" s="44" t="n"/>
      <c r="S2" s="44" t="n"/>
    </row>
    <row r="3" ht="22.35" customHeight="1" s="30">
      <c r="A3" s="48" t="n">
        <v>2</v>
      </c>
      <c r="B3" s="49" t="inlineStr">
        <is>
          <t>ALQUILADORA BARBA Renta Sillas Mesas Carpa Brincolin</t>
        </is>
      </c>
      <c r="C3" s="46" t="n">
        <v>10</v>
      </c>
      <c r="D3" s="48" t="inlineStr">
        <is>
          <t>+52 55 3514 9500</t>
        </is>
      </c>
      <c r="E3" s="50" t="inlineStr">
        <is>
          <t>Abrir chat</t>
        </is>
      </c>
      <c r="F3" s="48" t="inlineStr">
        <is>
          <t>Alquiler equipos para fiestas</t>
        </is>
      </c>
      <c r="G3" s="48" t="inlineStr">
        <is>
          <t>Magdalena Mixihuca</t>
        </is>
      </c>
      <c r="H3" s="48" t="n"/>
      <c r="I3" s="48" t="n"/>
      <c r="J3" s="48" t="n"/>
      <c r="K3" s="48" t="n">
        <v>2.9</v>
      </c>
      <c r="L3" s="48" t="n">
        <v>41</v>
      </c>
      <c r="M3" s="49" t="inlineStr">
        <is>
          <t>Renta mobiliario/sillas/mesas; sin web (alto potencial)</t>
        </is>
      </c>
      <c r="N3" s="48" t="inlineStr">
        <is>
          <t>A Corto</t>
        </is>
      </c>
      <c r="O3" s="48" t="inlineStr">
        <is>
          <t>Contactado</t>
        </is>
      </c>
      <c r="P3" s="48" t="n"/>
      <c r="Q3" s="48" t="n"/>
      <c r="R3" s="48" t="n"/>
      <c r="S3" s="48" t="n"/>
    </row>
    <row r="4" ht="15" customHeight="1" s="30">
      <c r="A4" s="44" t="n">
        <v>3</v>
      </c>
      <c r="B4" s="45" t="inlineStr">
        <is>
          <t>Renta de Mobiliario para Eventos CDMX</t>
        </is>
      </c>
      <c r="C4" s="46" t="n">
        <v>10</v>
      </c>
      <c r="D4" s="44" t="inlineStr">
        <is>
          <t>+52 55 4183 5463</t>
        </is>
      </c>
      <c r="E4" s="47" t="inlineStr">
        <is>
          <t>Abrir chat</t>
        </is>
      </c>
      <c r="F4" s="44" t="inlineStr">
        <is>
          <t>Alquiler equipos para fiestas</t>
        </is>
      </c>
      <c r="G4" s="44" t="inlineStr">
        <is>
          <t>Merced Gomez</t>
        </is>
      </c>
      <c r="H4" s="44" t="n"/>
      <c r="I4" s="44" t="n"/>
      <c r="J4" s="44" t="n"/>
      <c r="K4" s="44" t="n">
        <v>4.2</v>
      </c>
      <c r="L4" s="44" t="n">
        <v>30</v>
      </c>
      <c r="M4" s="45" t="inlineStr">
        <is>
          <t>Renta mobiliario; sin web (alto potencial)</t>
        </is>
      </c>
      <c r="N4" s="44" t="inlineStr">
        <is>
          <t>A Corto</t>
        </is>
      </c>
      <c r="O4" s="44" t="inlineStr">
        <is>
          <t>Contactado</t>
        </is>
      </c>
      <c r="P4" s="44" t="n"/>
      <c r="Q4" s="44" t="n"/>
      <c r="R4" s="44" t="n"/>
      <c r="S4" s="44" t="n"/>
    </row>
    <row r="5" ht="22.35" customHeight="1" s="30">
      <c r="A5" s="48" t="n">
        <v>4</v>
      </c>
      <c r="B5" s="49" t="inlineStr">
        <is>
          <t>ALQUILADORA ROSY. RENTA DE SILLAS Y MESAS</t>
        </is>
      </c>
      <c r="C5" s="46" t="n">
        <v>10</v>
      </c>
      <c r="D5" s="48" t="inlineStr">
        <is>
          <t>+52 55 2305 9739</t>
        </is>
      </c>
      <c r="E5" s="50" t="inlineStr">
        <is>
          <t>Abrir chat</t>
        </is>
      </c>
      <c r="F5" s="48" t="inlineStr">
        <is>
          <t>Alquiler equipos para fiestas</t>
        </is>
      </c>
      <c r="G5" s="48" t="inlineStr">
        <is>
          <t>Granjas Navidad</t>
        </is>
      </c>
      <c r="H5" s="48" t="n"/>
      <c r="I5" s="48" t="n"/>
      <c r="J5" s="48" t="n"/>
      <c r="K5" s="48" t="n">
        <v>4</v>
      </c>
      <c r="L5" s="48" t="n">
        <v>8</v>
      </c>
      <c r="M5" s="49" t="inlineStr">
        <is>
          <t>Renta sillas y mesas; sin web (alto potencial)</t>
        </is>
      </c>
      <c r="N5" s="48" t="inlineStr">
        <is>
          <t>A Corto</t>
        </is>
      </c>
      <c r="O5" s="48" t="inlineStr">
        <is>
          <t>Contactado</t>
        </is>
      </c>
      <c r="P5" s="48" t="n"/>
      <c r="Q5" s="48" t="n"/>
      <c r="R5" s="48" t="n"/>
      <c r="S5" s="48" t="n"/>
    </row>
    <row r="6" ht="15" customHeight="1" s="30">
      <c r="A6" s="44" t="n">
        <v>5</v>
      </c>
      <c r="B6" s="45" t="inlineStr">
        <is>
          <t>Alquiladora Eventos Especiales mesas y sillas</t>
        </is>
      </c>
      <c r="C6" s="46" t="n">
        <v>10</v>
      </c>
      <c r="D6" s="44" t="inlineStr">
        <is>
          <t>+52 55 4130 5843</t>
        </is>
      </c>
      <c r="E6" s="47" t="inlineStr">
        <is>
          <t>Abrir chat</t>
        </is>
      </c>
      <c r="F6" s="44" t="inlineStr">
        <is>
          <t>Alquiler de mobiliario</t>
        </is>
      </c>
      <c r="G6" s="44" t="inlineStr">
        <is>
          <t>Ahuehuetes Anahuac</t>
        </is>
      </c>
      <c r="H6" s="44" t="n"/>
      <c r="I6" s="44" t="n"/>
      <c r="J6" s="44" t="n"/>
      <c r="K6" s="44" t="n">
        <v>4.5</v>
      </c>
      <c r="L6" s="44" t="n">
        <v>8</v>
      </c>
      <c r="M6" s="45" t="inlineStr">
        <is>
          <t>Renta mobiliario; sin web (alto potencial)</t>
        </is>
      </c>
      <c r="N6" s="44" t="inlineStr">
        <is>
          <t>A Corto</t>
        </is>
      </c>
      <c r="O6" s="44" t="inlineStr">
        <is>
          <t>Contactado</t>
        </is>
      </c>
      <c r="P6" s="44" t="n"/>
      <c r="Q6" s="44" t="n"/>
      <c r="R6" s="44" t="n"/>
      <c r="S6" s="44" t="n"/>
    </row>
    <row r="7" ht="15" customHeight="1" s="30">
      <c r="A7" s="48" t="n">
        <v>6</v>
      </c>
      <c r="B7" s="49" t="inlineStr">
        <is>
          <t>Alquiler de Sillas y Mesas</t>
        </is>
      </c>
      <c r="C7" s="46" t="n">
        <v>10</v>
      </c>
      <c r="D7" s="48" t="inlineStr">
        <is>
          <t>+52 55 5593 3294</t>
        </is>
      </c>
      <c r="E7" s="50" t="inlineStr">
        <is>
          <t>Abrir chat</t>
        </is>
      </c>
      <c r="F7" s="48" t="inlineStr">
        <is>
          <t>Alquiler equipos para fiestas</t>
        </is>
      </c>
      <c r="G7" s="48" t="inlineStr">
        <is>
          <t>Molino de Rosas</t>
        </is>
      </c>
      <c r="H7" s="48" t="n"/>
      <c r="I7" s="48" t="n"/>
      <c r="J7" s="48" t="n"/>
      <c r="K7" s="48" t="n">
        <v>2.9</v>
      </c>
      <c r="L7" s="48" t="n">
        <v>8</v>
      </c>
      <c r="M7" s="49" t="inlineStr">
        <is>
          <t>Renta sillas y mesas; sin web (alto potencial)</t>
        </is>
      </c>
      <c r="N7" s="48" t="inlineStr">
        <is>
          <t>A Corto</t>
        </is>
      </c>
      <c r="O7" s="48" t="inlineStr">
        <is>
          <t>Contactado</t>
        </is>
      </c>
      <c r="P7" s="48" t="n"/>
      <c r="Q7" s="48" t="n"/>
      <c r="R7" s="48" t="n"/>
      <c r="S7" s="48" t="n"/>
    </row>
    <row r="8" ht="15" customHeight="1" s="30">
      <c r="A8" s="44" t="n">
        <v>7</v>
      </c>
      <c r="B8" s="45" t="inlineStr">
        <is>
          <t>Sillas y Mesas De Todo Para Tu Fiesta</t>
        </is>
      </c>
      <c r="C8" s="46" t="n">
        <v>10</v>
      </c>
      <c r="D8" s="44" t="inlineStr">
        <is>
          <t>+52 55 5758 2840</t>
        </is>
      </c>
      <c r="E8" s="47" t="inlineStr">
        <is>
          <t>Abrir chat</t>
        </is>
      </c>
      <c r="F8" s="44" t="inlineStr">
        <is>
          <t>Alquiler equipos para fiestas</t>
        </is>
      </c>
      <c r="G8" s="44" t="inlineStr">
        <is>
          <t>Agricola Oriental</t>
        </is>
      </c>
      <c r="H8" s="44" t="n"/>
      <c r="I8" s="44" t="n"/>
      <c r="J8" s="44" t="n"/>
      <c r="K8" s="44" t="n">
        <v>3.3</v>
      </c>
      <c r="L8" s="44" t="n">
        <v>8</v>
      </c>
      <c r="M8" s="45" t="inlineStr">
        <is>
          <t>Renta sillas y mesas; sin web (alto potencial)</t>
        </is>
      </c>
      <c r="N8" s="44" t="inlineStr">
        <is>
          <t>A Corto</t>
        </is>
      </c>
      <c r="O8" s="44" t="inlineStr">
        <is>
          <t>Contactado</t>
        </is>
      </c>
      <c r="P8" s="44" t="n"/>
      <c r="Q8" s="44" t="n"/>
      <c r="R8" s="44" t="n"/>
      <c r="S8" s="44" t="n"/>
    </row>
    <row r="9" ht="22.35" customHeight="1" s="30">
      <c r="A9" s="48" t="n">
        <v>8</v>
      </c>
      <c r="B9" s="49" t="inlineStr">
        <is>
          <t>Alquiler de Sillas, mesas, carpas, vajilla, decoracion</t>
        </is>
      </c>
      <c r="C9" s="46" t="n">
        <v>10</v>
      </c>
      <c r="D9" s="48" t="inlineStr">
        <is>
          <t>+52 55 4808 1654</t>
        </is>
      </c>
      <c r="E9" s="50" t="inlineStr">
        <is>
          <t>Abrir chat</t>
        </is>
      </c>
      <c r="F9" s="48" t="inlineStr">
        <is>
          <t>Alquiler equipos para fiestas</t>
        </is>
      </c>
      <c r="G9" s="48" t="inlineStr">
        <is>
          <t>Juan Escutia</t>
        </is>
      </c>
      <c r="H9" s="48" t="n"/>
      <c r="I9" s="48" t="n"/>
      <c r="J9" s="48" t="n"/>
      <c r="K9" s="48" t="n">
        <v>3.5</v>
      </c>
      <c r="L9" s="48" t="n">
        <v>6</v>
      </c>
      <c r="M9" s="49" t="inlineStr">
        <is>
          <t>Renta mobiliario; sin web (alto potencial)</t>
        </is>
      </c>
      <c r="N9" s="48" t="inlineStr">
        <is>
          <t>A Corto</t>
        </is>
      </c>
      <c r="O9" s="48" t="inlineStr">
        <is>
          <t>Contactado</t>
        </is>
      </c>
      <c r="P9" s="48" t="n"/>
      <c r="Q9" s="48" t="n"/>
      <c r="R9" s="48" t="n"/>
      <c r="S9" s="48" t="n"/>
    </row>
    <row r="10" ht="22.35" customHeight="1" s="30">
      <c r="A10" s="44" t="n">
        <v>9</v>
      </c>
      <c r="B10" s="45" t="inlineStr">
        <is>
          <t>Momentum Eventos - Renta de mesas, sillas e inflables</t>
        </is>
      </c>
      <c r="C10" s="46" t="n">
        <v>10</v>
      </c>
      <c r="D10" s="44" t="inlineStr">
        <is>
          <t>+52 55 6457 0614</t>
        </is>
      </c>
      <c r="E10" s="47" t="inlineStr">
        <is>
          <t>Abrir chat</t>
        </is>
      </c>
      <c r="F10" s="44" t="inlineStr">
        <is>
          <t>Alquiler equipos para fiestas</t>
        </is>
      </c>
      <c r="G10" s="44" t="inlineStr">
        <is>
          <t>Tacuba</t>
        </is>
      </c>
      <c r="H10" s="44" t="n"/>
      <c r="I10" s="44" t="n"/>
      <c r="J10" s="44" t="n"/>
      <c r="K10" s="44" t="n">
        <v>5</v>
      </c>
      <c r="L10" s="44" t="n">
        <v>4</v>
      </c>
      <c r="M10" s="45" t="inlineStr">
        <is>
          <t>Renta mesas y sillas; sin web (alto potencial)</t>
        </is>
      </c>
      <c r="N10" s="44" t="inlineStr">
        <is>
          <t>A Corto</t>
        </is>
      </c>
      <c r="O10" s="44" t="inlineStr">
        <is>
          <t>Por contactar</t>
        </is>
      </c>
      <c r="P10" s="44" t="n"/>
      <c r="Q10" s="44" t="n"/>
      <c r="R10" s="44" t="n"/>
      <c r="S10" s="44" t="n"/>
    </row>
    <row r="11" ht="15" customHeight="1" s="30">
      <c r="A11" s="48" t="n">
        <v>10</v>
      </c>
      <c r="B11" s="49" t="inlineStr">
        <is>
          <t>PARTY BOOM ALQUILER DE MOBILIARIO</t>
        </is>
      </c>
      <c r="C11" s="46" t="n">
        <v>10</v>
      </c>
      <c r="D11" s="48" t="inlineStr">
        <is>
          <t>+52 55 7596 3955</t>
        </is>
      </c>
      <c r="E11" s="50" t="inlineStr">
        <is>
          <t>Abrir chat</t>
        </is>
      </c>
      <c r="F11" s="48" t="inlineStr">
        <is>
          <t>Alquiler de mobiliario</t>
        </is>
      </c>
      <c r="G11" s="48" t="inlineStr">
        <is>
          <t>Martires de Rio Blanco</t>
        </is>
      </c>
      <c r="H11" s="48" t="n"/>
      <c r="I11" s="48" t="n"/>
      <c r="J11" s="48" t="n"/>
      <c r="K11" s="48" t="n">
        <v>3</v>
      </c>
      <c r="L11" s="48" t="n">
        <v>2</v>
      </c>
      <c r="M11" s="49" t="inlineStr">
        <is>
          <t>Renta mobiliario; sin web (alto potencial)</t>
        </is>
      </c>
      <c r="N11" s="48" t="inlineStr">
        <is>
          <t>A Corto</t>
        </is>
      </c>
      <c r="O11" s="48" t="inlineStr">
        <is>
          <t>Por contactar</t>
        </is>
      </c>
      <c r="P11" s="48" t="n"/>
      <c r="Q11" s="48" t="n"/>
      <c r="R11" s="48" t="n"/>
      <c r="S11" s="48" t="n"/>
    </row>
    <row r="12" ht="15" customHeight="1" s="30">
      <c r="A12" s="44" t="n">
        <v>11</v>
      </c>
      <c r="B12" s="45" t="inlineStr">
        <is>
          <t>Deya love (renta de mobiliario e inflables)</t>
        </is>
      </c>
      <c r="C12" s="46" t="n">
        <v>10</v>
      </c>
      <c r="D12" s="44" t="inlineStr">
        <is>
          <t>+52 55 6115 5500</t>
        </is>
      </c>
      <c r="E12" s="47" t="inlineStr">
        <is>
          <t>Abrir chat</t>
        </is>
      </c>
      <c r="F12" s="44" t="inlineStr">
        <is>
          <t>Alquiler equipos para fiestas</t>
        </is>
      </c>
      <c r="G12" s="44" t="inlineStr">
        <is>
          <t>Agricola Oriental</t>
        </is>
      </c>
      <c r="H12" s="44" t="n"/>
      <c r="I12" s="44" t="n"/>
      <c r="J12" s="44" t="n"/>
      <c r="K12" s="44" t="n"/>
      <c r="L12" s="44" t="n"/>
      <c r="M12" s="45" t="inlineStr">
        <is>
          <t>Renta mobiliario; sin web (alto potencial)</t>
        </is>
      </c>
      <c r="N12" s="44" t="inlineStr">
        <is>
          <t>A Corto</t>
        </is>
      </c>
      <c r="O12" s="44" t="inlineStr">
        <is>
          <t>Por contactar</t>
        </is>
      </c>
      <c r="P12" s="44" t="n"/>
      <c r="Q12" s="44" t="n"/>
      <c r="R12" s="44" t="n"/>
      <c r="S12" s="44" t="n"/>
    </row>
    <row r="13" ht="15" customHeight="1" s="30">
      <c r="A13" s="48" t="n">
        <v>12</v>
      </c>
      <c r="B13" s="49" t="inlineStr">
        <is>
          <t>Alquiladora Casa Aguilera</t>
        </is>
      </c>
      <c r="C13" s="51" t="n">
        <v>9</v>
      </c>
      <c r="D13" s="48" t="inlineStr">
        <is>
          <t>+52 55 4912 8099</t>
        </is>
      </c>
      <c r="E13" s="50" t="inlineStr">
        <is>
          <t>Abrir chat</t>
        </is>
      </c>
      <c r="F13" s="48" t="inlineStr">
        <is>
          <t>Alquiler equipos para fiestas</t>
        </is>
      </c>
      <c r="G13" s="48" t="inlineStr">
        <is>
          <t>CDMX</t>
        </is>
      </c>
      <c r="H13" s="48" t="n"/>
      <c r="I13" s="48" t="n"/>
      <c r="J13" s="48" t="n"/>
      <c r="K13" s="48" t="n">
        <v>4.1</v>
      </c>
      <c r="L13" s="48" t="n">
        <v>103</v>
      </c>
      <c r="M13" s="49" t="inlineStr">
        <is>
          <t>Alquiler eventos; sin web (alto potencial)</t>
        </is>
      </c>
      <c r="N13" s="48" t="inlineStr">
        <is>
          <t>A Corto</t>
        </is>
      </c>
      <c r="O13" s="48" t="inlineStr">
        <is>
          <t>Por contactar</t>
        </is>
      </c>
      <c r="P13" s="48" t="n"/>
      <c r="Q13" s="48" t="n"/>
      <c r="R13" s="48" t="n"/>
      <c r="S13" s="48" t="n"/>
    </row>
    <row r="14" ht="15" customHeight="1" s="30">
      <c r="A14" s="44" t="n">
        <v>13</v>
      </c>
      <c r="B14" s="45" t="inlineStr">
        <is>
          <t>Alquileres Izquierdo</t>
        </is>
      </c>
      <c r="C14" s="51" t="n">
        <v>9</v>
      </c>
      <c r="D14" s="44" t="inlineStr">
        <is>
          <t>+52 55 5571 5297</t>
        </is>
      </c>
      <c r="E14" s="47" t="inlineStr">
        <is>
          <t>Abrir chat</t>
        </is>
      </c>
      <c r="F14" s="44" t="inlineStr">
        <is>
          <t>Alquiler de mobiliario</t>
        </is>
      </c>
      <c r="G14" s="44" t="inlineStr">
        <is>
          <t>Moctezuma 2da Seccion</t>
        </is>
      </c>
      <c r="H14" s="44" t="n"/>
      <c r="I14" s="44" t="n"/>
      <c r="J14" s="44" t="n"/>
      <c r="K14" s="44" t="n">
        <v>4.5</v>
      </c>
      <c r="L14" s="44" t="n">
        <v>64</v>
      </c>
      <c r="M14" s="45" t="inlineStr">
        <is>
          <t>Alquiler mobiliario; sin web (alto potencial)</t>
        </is>
      </c>
      <c r="N14" s="44" t="inlineStr">
        <is>
          <t>A Corto</t>
        </is>
      </c>
      <c r="O14" s="44" t="inlineStr">
        <is>
          <t>Por contactar</t>
        </is>
      </c>
      <c r="P14" s="44" t="n"/>
      <c r="Q14" s="44" t="n"/>
      <c r="R14" s="44" t="n"/>
      <c r="S14" s="44" t="n"/>
    </row>
    <row r="15" ht="22.35" customHeight="1" s="30">
      <c r="A15" s="48" t="n">
        <v>14</v>
      </c>
      <c r="B15" s="49" t="inlineStr">
        <is>
          <t>Armando Tu Evento | Alquiler de sillas y mesas CDMX</t>
        </is>
      </c>
      <c r="C15" s="51" t="n">
        <v>9</v>
      </c>
      <c r="D15" s="48" t="inlineStr">
        <is>
          <t>+52 55 7531 4757</t>
        </is>
      </c>
      <c r="E15" s="50" t="inlineStr">
        <is>
          <t>Abrir chat</t>
        </is>
      </c>
      <c r="F15" s="48" t="inlineStr">
        <is>
          <t>Alquiler de mobiliario</t>
        </is>
      </c>
      <c r="G15" s="48" t="inlineStr">
        <is>
          <t>Napoles</t>
        </is>
      </c>
      <c r="H15" s="48" t="inlineStr">
        <is>
          <t>alquiladoradesillasymesas.com</t>
        </is>
      </c>
      <c r="I15" s="48" t="inlineStr">
        <is>
          <t>armanotuevento@gmail.com</t>
        </is>
      </c>
      <c r="J15" s="48" t="n"/>
      <c r="K15" s="48" t="n">
        <v>5</v>
      </c>
      <c r="L15" s="48" t="n">
        <v>63</v>
      </c>
      <c r="M15" s="49" t="inlineStr">
        <is>
          <t>Renta sillas y mesas (nicho core)</t>
        </is>
      </c>
      <c r="N15" s="48" t="inlineStr">
        <is>
          <t>A Corto / C si objetan</t>
        </is>
      </c>
      <c r="O15" s="48" t="inlineStr">
        <is>
          <t>Por contactar</t>
        </is>
      </c>
      <c r="P15" s="48" t="n"/>
      <c r="Q15" s="48" t="n"/>
      <c r="R15" s="48" t="n"/>
      <c r="S15" s="48" t="n"/>
    </row>
    <row r="16" ht="15" customHeight="1" s="30">
      <c r="A16" s="44" t="n">
        <v>15</v>
      </c>
      <c r="B16" s="45" t="inlineStr">
        <is>
          <t>ALQUILADORA ARMANDO'S</t>
        </is>
      </c>
      <c r="C16" s="51" t="n">
        <v>9</v>
      </c>
      <c r="D16" s="44" t="inlineStr">
        <is>
          <t>+52 55 5760 1407</t>
        </is>
      </c>
      <c r="E16" s="47" t="inlineStr">
        <is>
          <t>Abrir chat</t>
        </is>
      </c>
      <c r="F16" s="44" t="inlineStr">
        <is>
          <t>Alquiler equipos para fiestas</t>
        </is>
      </c>
      <c r="G16" s="44" t="inlineStr">
        <is>
          <t>Aragon Inguaran</t>
        </is>
      </c>
      <c r="H16" s="44" t="n"/>
      <c r="I16" s="44" t="n"/>
      <c r="J16" s="44" t="n"/>
      <c r="K16" s="44" t="n">
        <v>4.5</v>
      </c>
      <c r="L16" s="44" t="n">
        <v>60</v>
      </c>
      <c r="M16" s="45" t="inlineStr">
        <is>
          <t>Alquiler eventos; sin web (alto potencial)</t>
        </is>
      </c>
      <c r="N16" s="44" t="inlineStr">
        <is>
          <t>A Corto</t>
        </is>
      </c>
      <c r="O16" s="44" t="inlineStr">
        <is>
          <t>Por contactar</t>
        </is>
      </c>
      <c r="P16" s="44" t="n"/>
      <c r="Q16" s="44" t="n"/>
      <c r="R16" s="44" t="n"/>
      <c r="S16" s="44" t="n"/>
    </row>
    <row r="17" ht="22.35" customHeight="1" s="30">
      <c r="A17" s="48" t="n">
        <v>16</v>
      </c>
      <c r="B17" s="49" t="inlineStr">
        <is>
          <t>ALQUILADORA PETIT renta de sillas y mesas, carpas</t>
        </is>
      </c>
      <c r="C17" s="51" t="n">
        <v>9</v>
      </c>
      <c r="D17" s="48" t="inlineStr">
        <is>
          <t>+52 55 5617 4521</t>
        </is>
      </c>
      <c r="E17" s="50" t="inlineStr">
        <is>
          <t>Abrir chat</t>
        </is>
      </c>
      <c r="F17" s="48" t="inlineStr">
        <is>
          <t>Alquiler equipos para fiestas</t>
        </is>
      </c>
      <c r="G17" s="48" t="inlineStr">
        <is>
          <t>Pedregal de Santa Ursula</t>
        </is>
      </c>
      <c r="H17" s="48" t="inlineStr">
        <is>
          <t>alquiladorapetit.com</t>
        </is>
      </c>
      <c r="I17" s="48" t="inlineStr">
        <is>
          <t>maroas82@yahoo.com.mx</t>
        </is>
      </c>
      <c r="J17" s="48" t="inlineStr">
        <is>
          <t>instagram.com/alquiladorapetit</t>
        </is>
      </c>
      <c r="K17" s="48" t="n">
        <v>4.8</v>
      </c>
      <c r="L17" s="48" t="n">
        <v>56</v>
      </c>
      <c r="M17" s="49" t="inlineStr">
        <is>
          <t>Renta sillas y mesas (nicho core)</t>
        </is>
      </c>
      <c r="N17" s="48" t="inlineStr">
        <is>
          <t>A Corto / C si objetan</t>
        </is>
      </c>
      <c r="O17" s="48" t="inlineStr">
        <is>
          <t>Por contactar</t>
        </is>
      </c>
      <c r="P17" s="48" t="n"/>
      <c r="Q17" s="48" t="n"/>
      <c r="R17" s="48" t="n"/>
      <c r="S17" s="48" t="n"/>
    </row>
    <row r="18" ht="15" customHeight="1" s="30">
      <c r="A18" s="44" t="n">
        <v>17</v>
      </c>
      <c r="B18" s="45" t="inlineStr">
        <is>
          <t>Alquiladora Martinez</t>
        </is>
      </c>
      <c r="C18" s="51" t="n">
        <v>9</v>
      </c>
      <c r="D18" s="44" t="inlineStr">
        <is>
          <t>+52 55 6183 8580</t>
        </is>
      </c>
      <c r="E18" s="47" t="inlineStr">
        <is>
          <t>Abrir chat</t>
        </is>
      </c>
      <c r="F18" s="44" t="inlineStr">
        <is>
          <t>Alquiler de mobiliario</t>
        </is>
      </c>
      <c r="G18" s="44" t="inlineStr">
        <is>
          <t>Campamento 2 de Octubre</t>
        </is>
      </c>
      <c r="H18" s="44" t="n"/>
      <c r="I18" s="44" t="n"/>
      <c r="J18" s="44" t="n"/>
      <c r="K18" s="44" t="n">
        <v>4.8</v>
      </c>
      <c r="L18" s="44" t="n">
        <v>55</v>
      </c>
      <c r="M18" s="45" t="inlineStr">
        <is>
          <t>Alquiler mobiliario; sin web (alto potencial)</t>
        </is>
      </c>
      <c r="N18" s="44" t="inlineStr">
        <is>
          <t>A Corto</t>
        </is>
      </c>
      <c r="O18" s="44" t="inlineStr">
        <is>
          <t>Por contactar</t>
        </is>
      </c>
      <c r="P18" s="44" t="n"/>
      <c r="Q18" s="44" t="n"/>
      <c r="R18" s="44" t="n"/>
      <c r="S18" s="44" t="n"/>
    </row>
    <row r="19" ht="15" customHeight="1" s="30">
      <c r="A19" s="48" t="n">
        <v>18</v>
      </c>
      <c r="B19" s="49" t="inlineStr">
        <is>
          <t>Alquiler y Banquetes Gadol</t>
        </is>
      </c>
      <c r="C19" s="51" t="n">
        <v>9</v>
      </c>
      <c r="D19" s="48" t="inlineStr">
        <is>
          <t>+52 55 4919 0785</t>
        </is>
      </c>
      <c r="E19" s="50" t="inlineStr">
        <is>
          <t>Abrir chat</t>
        </is>
      </c>
      <c r="F19" s="48" t="inlineStr">
        <is>
          <t>Alquiler equipos para fiestas</t>
        </is>
      </c>
      <c r="G19" s="48" t="inlineStr">
        <is>
          <t>Polanco IV Seccion</t>
        </is>
      </c>
      <c r="H19" s="48" t="n"/>
      <c r="I19" s="48" t="n"/>
      <c r="J19" s="48" t="n"/>
      <c r="K19" s="48" t="n">
        <v>4.8</v>
      </c>
      <c r="L19" s="48" t="n">
        <v>32</v>
      </c>
      <c r="M19" s="49" t="inlineStr">
        <is>
          <t>Alquiler eventos; sin web (alto potencial)</t>
        </is>
      </c>
      <c r="N19" s="48" t="inlineStr">
        <is>
          <t>A Corto</t>
        </is>
      </c>
      <c r="O19" s="48" t="inlineStr">
        <is>
          <t>Por contactar</t>
        </is>
      </c>
      <c r="P19" s="48" t="n"/>
      <c r="Q19" s="48" t="n"/>
      <c r="R19" s="48" t="n"/>
      <c r="S19" s="48" t="n"/>
    </row>
    <row r="20" ht="15" customHeight="1" s="30">
      <c r="A20" s="44" t="n">
        <v>19</v>
      </c>
      <c r="B20" s="45" t="inlineStr">
        <is>
          <t>Alquiladora Yeimi</t>
        </is>
      </c>
      <c r="C20" s="51" t="n">
        <v>9</v>
      </c>
      <c r="D20" s="44" t="inlineStr">
        <is>
          <t>+52 55 5235 0018</t>
        </is>
      </c>
      <c r="E20" s="47" t="inlineStr">
        <is>
          <t>Abrir chat</t>
        </is>
      </c>
      <c r="F20" s="44" t="inlineStr">
        <is>
          <t>Alquiler equipos para fiestas</t>
        </is>
      </c>
      <c r="G20" s="44" t="inlineStr">
        <is>
          <t>Maria G. de Garcia Ruiz</t>
        </is>
      </c>
      <c r="H20" s="44" t="n"/>
      <c r="I20" s="44" t="n"/>
      <c r="J20" s="44" t="n"/>
      <c r="K20" s="44" t="n">
        <v>3.2</v>
      </c>
      <c r="L20" s="44" t="n">
        <v>29</v>
      </c>
      <c r="M20" s="45" t="inlineStr">
        <is>
          <t>Alquiler eventos; sin web (alto potencial)</t>
        </is>
      </c>
      <c r="N20" s="44" t="inlineStr">
        <is>
          <t>A Corto</t>
        </is>
      </c>
      <c r="O20" s="44" t="inlineStr">
        <is>
          <t>Por contactar</t>
        </is>
      </c>
      <c r="P20" s="44" t="n"/>
      <c r="Q20" s="44" t="n"/>
      <c r="R20" s="44" t="n"/>
      <c r="S20" s="44" t="n"/>
    </row>
    <row r="21" ht="15" customHeight="1" s="30">
      <c r="A21" s="48" t="n">
        <v>20</v>
      </c>
      <c r="B21" s="49" t="inlineStr">
        <is>
          <t>ALQUILADORA PASTEN</t>
        </is>
      </c>
      <c r="C21" s="51" t="n">
        <v>9</v>
      </c>
      <c r="D21" s="48" t="inlineStr">
        <is>
          <t>+52 55 1009 8337</t>
        </is>
      </c>
      <c r="E21" s="50" t="inlineStr">
        <is>
          <t>Abrir chat</t>
        </is>
      </c>
      <c r="F21" s="48" t="inlineStr">
        <is>
          <t>Alquiler equipos para fiestas</t>
        </is>
      </c>
      <c r="G21" s="48" t="inlineStr">
        <is>
          <t>Santa Cruz</t>
        </is>
      </c>
      <c r="H21" s="48" t="n"/>
      <c r="I21" s="48" t="n"/>
      <c r="J21" s="48" t="n"/>
      <c r="K21" s="48" t="n">
        <v>3.2</v>
      </c>
      <c r="L21" s="48" t="n">
        <v>23</v>
      </c>
      <c r="M21" s="49" t="inlineStr">
        <is>
          <t>Alquiler eventos; sin web (alto potencial)</t>
        </is>
      </c>
      <c r="N21" s="48" t="inlineStr">
        <is>
          <t>A Corto</t>
        </is>
      </c>
      <c r="O21" s="48" t="inlineStr">
        <is>
          <t>Por contactar</t>
        </is>
      </c>
      <c r="P21" s="48" t="n"/>
      <c r="Q21" s="48" t="n"/>
      <c r="R21" s="48" t="n"/>
      <c r="S21" s="48" t="n"/>
    </row>
    <row r="22" ht="15" customHeight="1" s="30">
      <c r="A22" s="44" t="n">
        <v>21</v>
      </c>
      <c r="B22" s="45" t="inlineStr">
        <is>
          <t>El Roble | Renta de mobiliario para eventos CDMX</t>
        </is>
      </c>
      <c r="C22" s="51" t="n">
        <v>9</v>
      </c>
      <c r="D22" s="44" t="inlineStr">
        <is>
          <t>+52 55 4485 0451</t>
        </is>
      </c>
      <c r="E22" s="47" t="inlineStr">
        <is>
          <t>Abrir chat</t>
        </is>
      </c>
      <c r="F22" s="44" t="inlineStr">
        <is>
          <t>Alquiler de mobiliario</t>
        </is>
      </c>
      <c r="G22" s="44" t="inlineStr">
        <is>
          <t>Roma Norte</t>
        </is>
      </c>
      <c r="H22" s="44" t="inlineStr">
        <is>
          <t>alquiladorayeventoselroble.com</t>
        </is>
      </c>
      <c r="I22" s="44" t="inlineStr">
        <is>
          <t>alquiladoraelroble@gmail.com</t>
        </is>
      </c>
      <c r="J22" s="44" t="inlineStr">
        <is>
          <t>instagram.com/elrobleoficialmx</t>
        </is>
      </c>
      <c r="K22" s="44" t="n">
        <v>4.8</v>
      </c>
      <c r="L22" s="44" t="n">
        <v>23</v>
      </c>
      <c r="M22" s="45" t="inlineStr">
        <is>
          <t>Renta mobiliario (nicho core)</t>
        </is>
      </c>
      <c r="N22" s="44" t="inlineStr">
        <is>
          <t>A Corto / C si objetan</t>
        </is>
      </c>
      <c r="O22" s="44" t="inlineStr">
        <is>
          <t>Por contactar</t>
        </is>
      </c>
      <c r="P22" s="44" t="n"/>
      <c r="Q22" s="44" t="n"/>
      <c r="R22" s="44" t="n"/>
      <c r="S22" s="44" t="n"/>
    </row>
    <row r="23" ht="22.35" customHeight="1" s="30">
      <c r="A23" s="48" t="n">
        <v>22</v>
      </c>
      <c r="B23" s="49" t="inlineStr">
        <is>
          <t>RENTA DE CARPAS SILLAS Y MESAS, CASA DE LA CRUZ</t>
        </is>
      </c>
      <c r="C23" s="51" t="n">
        <v>9</v>
      </c>
      <c r="D23" s="48" t="inlineStr">
        <is>
          <t>+52 55 5619 9386</t>
        </is>
      </c>
      <c r="E23" s="50" t="inlineStr">
        <is>
          <t>Abrir chat</t>
        </is>
      </c>
      <c r="F23" s="48" t="inlineStr">
        <is>
          <t>Alquiler equipos para fiestas</t>
        </is>
      </c>
      <c r="G23" s="48" t="inlineStr">
        <is>
          <t>Pedregal de Santo Domingo</t>
        </is>
      </c>
      <c r="H23" s="48" t="inlineStr">
        <is>
          <t>rentadecarpassillasymesascasadelacruz.com.mx</t>
        </is>
      </c>
      <c r="I23" s="48" t="inlineStr">
        <is>
          <t>casa_delacruz@hotmail.com</t>
        </is>
      </c>
      <c r="J23" s="48" t="n"/>
      <c r="K23" s="48" t="n">
        <v>3.8</v>
      </c>
      <c r="L23" s="48" t="n">
        <v>19</v>
      </c>
      <c r="M23" s="49" t="inlineStr">
        <is>
          <t>Renta sillas y mesas (nicho core)</t>
        </is>
      </c>
      <c r="N23" s="48" t="inlineStr">
        <is>
          <t>A Corto / C si objetan</t>
        </is>
      </c>
      <c r="O23" s="48" t="inlineStr">
        <is>
          <t>Por contactar</t>
        </is>
      </c>
      <c r="P23" s="48" t="n"/>
      <c r="Q23" s="48" t="n"/>
      <c r="R23" s="48" t="n"/>
      <c r="S23" s="48" t="n"/>
    </row>
    <row r="24" ht="15" customHeight="1" s="30">
      <c r="A24" s="44" t="n">
        <v>23</v>
      </c>
      <c r="B24" s="45" t="inlineStr">
        <is>
          <t>Mobiliario Para Eventos</t>
        </is>
      </c>
      <c r="C24" s="51" t="n">
        <v>9</v>
      </c>
      <c r="D24" s="44" t="inlineStr">
        <is>
          <t>+52 55 2245 0473</t>
        </is>
      </c>
      <c r="E24" s="47" t="inlineStr">
        <is>
          <t>Abrir chat</t>
        </is>
      </c>
      <c r="F24" s="44" t="inlineStr">
        <is>
          <t>Organizacion de eventos</t>
        </is>
      </c>
      <c r="G24" s="44" t="inlineStr">
        <is>
          <t>Carmen</t>
        </is>
      </c>
      <c r="H24" s="44" t="inlineStr">
        <is>
          <t>mobiliarioparaeventos.mx</t>
        </is>
      </c>
      <c r="I24" s="44" t="inlineStr">
        <is>
          <t>info@mobiliarioparaeventos.mx</t>
        </is>
      </c>
      <c r="J24" s="44" t="inlineStr">
        <is>
          <t>instagram.com/mobiliarioparaeventoscdmx</t>
        </is>
      </c>
      <c r="K24" s="44" t="n">
        <v>5</v>
      </c>
      <c r="L24" s="44" t="n">
        <v>17</v>
      </c>
      <c r="M24" s="45" t="inlineStr">
        <is>
          <t>Renta mobiliario (nicho core)</t>
        </is>
      </c>
      <c r="N24" s="44" t="inlineStr">
        <is>
          <t>A Corto / C si objetan</t>
        </is>
      </c>
      <c r="O24" s="44" t="inlineStr">
        <is>
          <t>Por contactar</t>
        </is>
      </c>
      <c r="P24" s="44" t="n"/>
      <c r="Q24" s="44" t="n"/>
      <c r="R24" s="44" t="n"/>
      <c r="S24" s="44" t="n"/>
    </row>
    <row r="25" ht="15" customHeight="1" s="30">
      <c r="A25" s="48" t="n">
        <v>24</v>
      </c>
      <c r="B25" s="49" t="inlineStr">
        <is>
          <t>ALQUILADORA MANUEL VILCHIS CUAJIMALPA</t>
        </is>
      </c>
      <c r="C25" s="51" t="n">
        <v>9</v>
      </c>
      <c r="D25" s="48" t="inlineStr">
        <is>
          <t>+52 55 2798 3191</t>
        </is>
      </c>
      <c r="E25" s="50" t="inlineStr">
        <is>
          <t>Abrir chat</t>
        </is>
      </c>
      <c r="F25" s="48" t="inlineStr">
        <is>
          <t>Alquiler equipos para fiestas</t>
        </is>
      </c>
      <c r="G25" s="48" t="inlineStr">
        <is>
          <t>Rosa Torres</t>
        </is>
      </c>
      <c r="H25" s="48" t="n"/>
      <c r="I25" s="48" t="n"/>
      <c r="J25" s="48" t="n"/>
      <c r="K25" s="48" t="n">
        <v>3.6</v>
      </c>
      <c r="L25" s="48" t="n">
        <v>16</v>
      </c>
      <c r="M25" s="49" t="inlineStr">
        <is>
          <t>Alquiler eventos; sin web (alto potencial)</t>
        </is>
      </c>
      <c r="N25" s="48" t="inlineStr">
        <is>
          <t>A Corto</t>
        </is>
      </c>
      <c r="O25" s="48" t="inlineStr">
        <is>
          <t>Por contactar</t>
        </is>
      </c>
      <c r="P25" s="48" t="n"/>
      <c r="Q25" s="48" t="n"/>
      <c r="R25" s="48" t="n"/>
      <c r="S25" s="48" t="n"/>
    </row>
    <row r="26" ht="22.35" customHeight="1" s="30">
      <c r="A26" s="44" t="n">
        <v>25</v>
      </c>
      <c r="B26" s="45" t="inlineStr">
        <is>
          <t>GRUPO ABEM - Renta de Mobiliario Premium para Eventos</t>
        </is>
      </c>
      <c r="C26" s="51" t="n">
        <v>9</v>
      </c>
      <c r="D26" s="44" t="inlineStr">
        <is>
          <t>+52 56 1175 8800</t>
        </is>
      </c>
      <c r="E26" s="47" t="inlineStr">
        <is>
          <t>Abrir chat</t>
        </is>
      </c>
      <c r="F26" s="44" t="inlineStr">
        <is>
          <t>Organizador de eventos</t>
        </is>
      </c>
      <c r="G26" s="44" t="inlineStr">
        <is>
          <t>Lindavista Vallejo III</t>
        </is>
      </c>
      <c r="H26" s="44" t="inlineStr">
        <is>
          <t>grupoabem.com.mx</t>
        </is>
      </c>
      <c r="I26" s="44" t="inlineStr">
        <is>
          <t>info@grupoabem.com.mx</t>
        </is>
      </c>
      <c r="J26" s="44" t="inlineStr">
        <is>
          <t>instagram.com/grupoabem</t>
        </is>
      </c>
      <c r="K26" s="44" t="n">
        <v>4.6</v>
      </c>
      <c r="L26" s="44" t="n">
        <v>14</v>
      </c>
      <c r="M26" s="45" t="inlineStr">
        <is>
          <t>Renta mobiliario premium (nicho core)</t>
        </is>
      </c>
      <c r="N26" s="44" t="inlineStr">
        <is>
          <t>A Corto / C si objetan</t>
        </is>
      </c>
      <c r="O26" s="44" t="inlineStr">
        <is>
          <t>Por contactar</t>
        </is>
      </c>
      <c r="P26" s="44" t="n"/>
      <c r="Q26" s="44" t="n"/>
      <c r="R26" s="44" t="n"/>
      <c r="S26" s="44" t="n"/>
    </row>
    <row r="27" ht="15" customHeight="1" s="30">
      <c r="A27" s="48" t="n">
        <v>26</v>
      </c>
      <c r="B27" s="49" t="inlineStr">
        <is>
          <t>RENTA DE MESAS Y SILLAS PARA EVENTOS</t>
        </is>
      </c>
      <c r="C27" s="51" t="n">
        <v>9</v>
      </c>
      <c r="D27" s="48" t="inlineStr">
        <is>
          <t>+52 55 2235 1237</t>
        </is>
      </c>
      <c r="E27" s="50" t="inlineStr">
        <is>
          <t>Abrir chat</t>
        </is>
      </c>
      <c r="F27" s="48" t="inlineStr">
        <is>
          <t>Organizador de eventos</t>
        </is>
      </c>
      <c r="G27" s="48" t="inlineStr">
        <is>
          <t>Arenal 4ta Seccion</t>
        </is>
      </c>
      <c r="H27" s="48" t="n"/>
      <c r="I27" s="48" t="n"/>
      <c r="J27" s="48" t="n"/>
      <c r="K27" s="48" t="n">
        <v>3.7</v>
      </c>
      <c r="L27" s="48" t="n">
        <v>10</v>
      </c>
      <c r="M27" s="49" t="inlineStr">
        <is>
          <t>Renta mesas y sillas; sin web (alto potencial)</t>
        </is>
      </c>
      <c r="N27" s="48" t="inlineStr">
        <is>
          <t>A Corto</t>
        </is>
      </c>
      <c r="O27" s="48" t="inlineStr">
        <is>
          <t>Por contactar</t>
        </is>
      </c>
      <c r="P27" s="48" t="n"/>
      <c r="Q27" s="48" t="n"/>
      <c r="R27" s="48" t="n"/>
      <c r="S27" s="48" t="n"/>
    </row>
    <row r="28" ht="15" customHeight="1" s="30">
      <c r="A28" s="44" t="n">
        <v>27</v>
      </c>
      <c r="B28" s="45" t="inlineStr">
        <is>
          <t>Alquiladora y Servicios RM</t>
        </is>
      </c>
      <c r="C28" s="51" t="n">
        <v>9</v>
      </c>
      <c r="D28" s="44" t="inlineStr">
        <is>
          <t>+52 55 6101 5232</t>
        </is>
      </c>
      <c r="E28" s="47" t="inlineStr">
        <is>
          <t>Abrir chat</t>
        </is>
      </c>
      <c r="F28" s="44" t="inlineStr">
        <is>
          <t>Alquiler equipos para fiestas</t>
        </is>
      </c>
      <c r="G28" s="44" t="inlineStr">
        <is>
          <t>Moctezuma 2da Seccion</t>
        </is>
      </c>
      <c r="H28" s="44" t="n"/>
      <c r="I28" s="44" t="n"/>
      <c r="J28" s="44" t="n"/>
      <c r="K28" s="44" t="n">
        <v>5</v>
      </c>
      <c r="L28" s="44" t="n">
        <v>9</v>
      </c>
      <c r="M28" s="45" t="inlineStr">
        <is>
          <t>Alquiler eventos; sin web (alto potencial)</t>
        </is>
      </c>
      <c r="N28" s="44" t="inlineStr">
        <is>
          <t>A Corto</t>
        </is>
      </c>
      <c r="O28" s="44" t="inlineStr">
        <is>
          <t>Por contactar</t>
        </is>
      </c>
      <c r="P28" s="44" t="n"/>
      <c r="Q28" s="44" t="n"/>
      <c r="R28" s="44" t="n"/>
      <c r="S28" s="44" t="n"/>
    </row>
    <row r="29" ht="15" customHeight="1" s="30">
      <c r="A29" s="48" t="n">
        <v>28</v>
      </c>
      <c r="B29" s="49" t="inlineStr">
        <is>
          <t>RENTA DE MOBILIARIO PARA EVENTOS</t>
        </is>
      </c>
      <c r="C29" s="51" t="n">
        <v>9</v>
      </c>
      <c r="D29" s="48" t="inlineStr">
        <is>
          <t>+52 55 6519 4071</t>
        </is>
      </c>
      <c r="E29" s="50" t="inlineStr">
        <is>
          <t>Abrir chat</t>
        </is>
      </c>
      <c r="F29" s="48" t="inlineStr">
        <is>
          <t>Organizador de eventos</t>
        </is>
      </c>
      <c r="G29" s="48" t="inlineStr">
        <is>
          <t>Santa Ursula Xitla</t>
        </is>
      </c>
      <c r="H29" s="48" t="n"/>
      <c r="I29" s="48" t="n"/>
      <c r="J29" s="48" t="n"/>
      <c r="K29" s="48" t="n">
        <v>4.1</v>
      </c>
      <c r="L29" s="48" t="n">
        <v>7</v>
      </c>
      <c r="M29" s="49" t="inlineStr">
        <is>
          <t>Renta mobiliario; sin web (alto potencial)</t>
        </is>
      </c>
      <c r="N29" s="48" t="inlineStr">
        <is>
          <t>A Corto</t>
        </is>
      </c>
      <c r="O29" s="48" t="inlineStr">
        <is>
          <t>Por contactar</t>
        </is>
      </c>
      <c r="P29" s="48" t="n"/>
      <c r="Q29" s="48" t="n"/>
      <c r="R29" s="48" t="n"/>
      <c r="S29" s="48" t="n"/>
    </row>
    <row r="30" ht="15" customHeight="1" s="30">
      <c r="A30" s="44" t="n">
        <v>29</v>
      </c>
      <c r="B30" s="45" t="inlineStr">
        <is>
          <t>Alquiladora Cesar</t>
        </is>
      </c>
      <c r="C30" s="51" t="n">
        <v>9</v>
      </c>
      <c r="D30" s="44" t="inlineStr">
        <is>
          <t>+52 55 6694 4836</t>
        </is>
      </c>
      <c r="E30" s="47" t="inlineStr">
        <is>
          <t>Abrir chat</t>
        </is>
      </c>
      <c r="F30" s="44" t="inlineStr">
        <is>
          <t>Alquiler equipos para fiestas</t>
        </is>
      </c>
      <c r="G30" s="44" t="inlineStr">
        <is>
          <t>Santa Maria Aztahuacan</t>
        </is>
      </c>
      <c r="H30" s="44" t="n"/>
      <c r="I30" s="44" t="n"/>
      <c r="J30" s="44" t="n"/>
      <c r="K30" s="44" t="n">
        <v>5</v>
      </c>
      <c r="L30" s="44" t="n">
        <v>7</v>
      </c>
      <c r="M30" s="45" t="inlineStr">
        <is>
          <t>Alquiler eventos; sin web (alto potencial)</t>
        </is>
      </c>
      <c r="N30" s="44" t="inlineStr">
        <is>
          <t>A Corto</t>
        </is>
      </c>
      <c r="O30" s="44" t="inlineStr">
        <is>
          <t>Por contactar</t>
        </is>
      </c>
      <c r="P30" s="44" t="n"/>
      <c r="Q30" s="44" t="n"/>
      <c r="R30" s="44" t="n"/>
      <c r="S30" s="44" t="n"/>
    </row>
    <row r="31" ht="15" customHeight="1" s="30">
      <c r="A31" s="48" t="n">
        <v>30</v>
      </c>
      <c r="B31" s="49" t="inlineStr">
        <is>
          <t>Renta de mobiliario para Eventos Unik</t>
        </is>
      </c>
      <c r="C31" s="51" t="n">
        <v>9</v>
      </c>
      <c r="D31" s="48" t="inlineStr">
        <is>
          <t>+52 55 3234 5689</t>
        </is>
      </c>
      <c r="E31" s="50" t="inlineStr">
        <is>
          <t>Abrir chat</t>
        </is>
      </c>
      <c r="F31" s="48" t="inlineStr">
        <is>
          <t>Alquiler equipos para fiestas</t>
        </is>
      </c>
      <c r="G31" s="48" t="inlineStr">
        <is>
          <t>Napoles</t>
        </is>
      </c>
      <c r="H31" s="48" t="inlineStr">
        <is>
          <t>eventosunik.com</t>
        </is>
      </c>
      <c r="I31" s="48" t="n"/>
      <c r="J31" s="48" t="n"/>
      <c r="K31" s="48" t="n">
        <v>5</v>
      </c>
      <c r="L31" s="48" t="n">
        <v>6</v>
      </c>
      <c r="M31" s="49" t="inlineStr">
        <is>
          <t>Renta mobiliario (nicho core)</t>
        </is>
      </c>
      <c r="N31" s="48" t="inlineStr">
        <is>
          <t>A Corto / C si objetan</t>
        </is>
      </c>
      <c r="O31" s="48" t="inlineStr">
        <is>
          <t>Por contactar</t>
        </is>
      </c>
      <c r="P31" s="48" t="n"/>
      <c r="Q31" s="48" t="n"/>
      <c r="R31" s="48" t="n"/>
      <c r="S31" s="48" t="n"/>
    </row>
    <row r="32" ht="15" customHeight="1" s="30">
      <c r="A32" s="44" t="n">
        <v>31</v>
      </c>
      <c r="B32" s="45" t="inlineStr">
        <is>
          <t>Alquiladora Esmeralda</t>
        </is>
      </c>
      <c r="C32" s="51" t="n">
        <v>9</v>
      </c>
      <c r="D32" s="44" t="inlineStr">
        <is>
          <t>+52 55 6228 5726</t>
        </is>
      </c>
      <c r="E32" s="47" t="inlineStr">
        <is>
          <t>Abrir chat</t>
        </is>
      </c>
      <c r="F32" s="44" t="inlineStr">
        <is>
          <t>Alquiler de mobiliario</t>
        </is>
      </c>
      <c r="G32" s="44" t="inlineStr">
        <is>
          <t>Ajusco</t>
        </is>
      </c>
      <c r="H32" s="44" t="inlineStr">
        <is>
          <t>alquiladoraesmeralda.com.mx</t>
        </is>
      </c>
      <c r="I32" s="44" t="inlineStr">
        <is>
          <t>alqui.esme@gmail.com</t>
        </is>
      </c>
      <c r="J32" s="44" t="inlineStr">
        <is>
          <t>instagram.com/alquiladora_esmeralda</t>
        </is>
      </c>
      <c r="K32" s="44" t="n">
        <v>4.8</v>
      </c>
      <c r="L32" s="44" t="n">
        <v>5</v>
      </c>
      <c r="M32" s="45" t="inlineStr">
        <is>
          <t>Alquiler mobiliario (nicho core)</t>
        </is>
      </c>
      <c r="N32" s="44" t="inlineStr">
        <is>
          <t>A Corto / C si objetan</t>
        </is>
      </c>
      <c r="O32" s="44" t="inlineStr">
        <is>
          <t>Por contactar</t>
        </is>
      </c>
      <c r="P32" s="44" t="n"/>
      <c r="Q32" s="44" t="n"/>
      <c r="R32" s="44" t="n"/>
      <c r="S32" s="44" t="n"/>
    </row>
    <row r="33" ht="15" customHeight="1" s="30">
      <c r="A33" s="48" t="n">
        <v>32</v>
      </c>
      <c r="B33" s="49" t="inlineStr">
        <is>
          <t>Renta de sillas y mesas en Polanco (Los Arcos)</t>
        </is>
      </c>
      <c r="C33" s="51" t="n">
        <v>9</v>
      </c>
      <c r="D33" s="48" t="inlineStr">
        <is>
          <t>+52 55 4140 8463</t>
        </is>
      </c>
      <c r="E33" s="50" t="inlineStr">
        <is>
          <t>Abrir chat</t>
        </is>
      </c>
      <c r="F33" s="48" t="inlineStr">
        <is>
          <t>Alquiler equipos para fiestas</t>
        </is>
      </c>
      <c r="G33" s="48" t="inlineStr">
        <is>
          <t>Francisco I. Madero</t>
        </is>
      </c>
      <c r="H33" s="48" t="inlineStr">
        <is>
          <t>alquiladoralosarcos.com</t>
        </is>
      </c>
      <c r="I33" s="48" t="inlineStr">
        <is>
          <t>contacto@alquiladoralosarcos.com</t>
        </is>
      </c>
      <c r="J33" s="48" t="n"/>
      <c r="K33" s="48" t="n">
        <v>4.2</v>
      </c>
      <c r="L33" s="48" t="n">
        <v>5</v>
      </c>
      <c r="M33" s="49" t="inlineStr">
        <is>
          <t>Renta sillas y mesas (nicho core)</t>
        </is>
      </c>
      <c r="N33" s="48" t="inlineStr">
        <is>
          <t>A Corto / C si objetan</t>
        </is>
      </c>
      <c r="O33" s="48" t="inlineStr">
        <is>
          <t>Por contactar</t>
        </is>
      </c>
      <c r="P33" s="48" t="n"/>
      <c r="Q33" s="48" t="n"/>
      <c r="R33" s="48" t="n"/>
      <c r="S33" s="48" t="n"/>
    </row>
    <row r="34" ht="15" customHeight="1" s="30">
      <c r="A34" s="44" t="n">
        <v>33</v>
      </c>
      <c r="B34" s="45" t="inlineStr">
        <is>
          <t>Renta de mobiliario CDMX</t>
        </is>
      </c>
      <c r="C34" s="51" t="n">
        <v>9</v>
      </c>
      <c r="D34" s="44" t="inlineStr">
        <is>
          <t>+52 55 5105 1774</t>
        </is>
      </c>
      <c r="E34" s="47" t="inlineStr">
        <is>
          <t>Abrir chat</t>
        </is>
      </c>
      <c r="F34" s="44" t="inlineStr">
        <is>
          <t>Organizador de eventos</t>
        </is>
      </c>
      <c r="G34" s="44" t="inlineStr">
        <is>
          <t>Narvarte Poniente</t>
        </is>
      </c>
      <c r="H34" s="44" t="n"/>
      <c r="I34" s="44" t="n"/>
      <c r="J34" s="44" t="n"/>
      <c r="K34" s="44" t="n">
        <v>5</v>
      </c>
      <c r="L34" s="44" t="n">
        <v>3</v>
      </c>
      <c r="M34" s="45" t="inlineStr">
        <is>
          <t>Renta mobiliario; sin web (alto potencial)</t>
        </is>
      </c>
      <c r="N34" s="44" t="inlineStr">
        <is>
          <t>A Corto</t>
        </is>
      </c>
      <c r="O34" s="44" t="inlineStr">
        <is>
          <t>Contactado</t>
        </is>
      </c>
      <c r="P34" s="44" t="n"/>
      <c r="Q34" s="44" t="n"/>
      <c r="R34" s="44" t="n"/>
      <c r="S34" s="44" t="n"/>
    </row>
    <row r="35" ht="15" customHeight="1" s="30">
      <c r="A35" s="48" t="n">
        <v>34</v>
      </c>
      <c r="B35" s="49" t="inlineStr">
        <is>
          <t>Renta de Sillas y Mesas</t>
        </is>
      </c>
      <c r="C35" s="51" t="n">
        <v>9</v>
      </c>
      <c r="D35" s="48" t="inlineStr">
        <is>
          <t>+52 55 8273 1688</t>
        </is>
      </c>
      <c r="E35" s="50" t="inlineStr">
        <is>
          <t>Abrir chat</t>
        </is>
      </c>
      <c r="F35" s="48" t="inlineStr">
        <is>
          <t>Alquiler equipos para fiestas</t>
        </is>
      </c>
      <c r="G35" s="48" t="inlineStr">
        <is>
          <t>Santa Lucia</t>
        </is>
      </c>
      <c r="H35" s="48" t="inlineStr">
        <is>
          <t>renta-sillas-y-mesas.ueniweb.com</t>
        </is>
      </c>
      <c r="I35" s="48" t="n"/>
      <c r="J35" s="48" t="n"/>
      <c r="K35" s="48" t="n">
        <v>1</v>
      </c>
      <c r="L35" s="48" t="n">
        <v>2</v>
      </c>
      <c r="M35" s="49" t="inlineStr">
        <is>
          <t>Renta sillas y mesas; web debil (alto potencial)</t>
        </is>
      </c>
      <c r="N35" s="48" t="inlineStr">
        <is>
          <t>A Corto / C si objetan</t>
        </is>
      </c>
      <c r="O35" s="48" t="inlineStr">
        <is>
          <t>Por contactar</t>
        </is>
      </c>
      <c r="P35" s="48" t="n"/>
      <c r="Q35" s="48" t="n"/>
      <c r="R35" s="48" t="n"/>
      <c r="S35" s="48" t="n"/>
    </row>
    <row r="36" ht="15" customHeight="1" s="30">
      <c r="A36" s="44" t="n">
        <v>35</v>
      </c>
      <c r="B36" s="45" t="inlineStr">
        <is>
          <t>Alquiladora Moreno Aragon</t>
        </is>
      </c>
      <c r="C36" s="51" t="n">
        <v>9</v>
      </c>
      <c r="D36" s="44" t="inlineStr">
        <is>
          <t>+52 55 2340 8146</t>
        </is>
      </c>
      <c r="E36" s="47" t="inlineStr">
        <is>
          <t>Abrir chat</t>
        </is>
      </c>
      <c r="F36" s="44" t="inlineStr">
        <is>
          <t>Alquiler equipos para fiestas</t>
        </is>
      </c>
      <c r="G36" s="44" t="inlineStr">
        <is>
          <t>San Juan de Aragon</t>
        </is>
      </c>
      <c r="H36" s="44" t="n"/>
      <c r="I36" s="44" t="n"/>
      <c r="J36" s="44" t="n"/>
      <c r="K36" s="44" t="n">
        <v>1</v>
      </c>
      <c r="L36" s="44" t="n">
        <v>1</v>
      </c>
      <c r="M36" s="45" t="inlineStr">
        <is>
          <t>Alquiler eventos; sin web (alto potencial)</t>
        </is>
      </c>
      <c r="N36" s="44" t="inlineStr">
        <is>
          <t>A Corto</t>
        </is>
      </c>
      <c r="O36" s="44" t="inlineStr">
        <is>
          <t>Por contactar</t>
        </is>
      </c>
      <c r="P36" s="44" t="n"/>
      <c r="Q36" s="44" t="n"/>
      <c r="R36" s="44" t="n"/>
      <c r="S36" s="44" t="n"/>
    </row>
    <row r="37" ht="15" customHeight="1" s="30">
      <c r="A37" s="48" t="n">
        <v>36</v>
      </c>
      <c r="B37" s="49" t="inlineStr">
        <is>
          <t>MOBILIARIO EN RENTA</t>
        </is>
      </c>
      <c r="C37" s="51" t="n">
        <v>9</v>
      </c>
      <c r="D37" s="48" t="inlineStr">
        <is>
          <t>+52 55 7947 7896</t>
        </is>
      </c>
      <c r="E37" s="50" t="inlineStr">
        <is>
          <t>Abrir chat</t>
        </is>
      </c>
      <c r="F37" s="48" t="inlineStr">
        <is>
          <t>Alquiler de mobiliario</t>
        </is>
      </c>
      <c r="G37" s="48" t="inlineStr">
        <is>
          <t>Jesus del Monte</t>
        </is>
      </c>
      <c r="H37" s="48" t="inlineStr">
        <is>
          <t>mobiliarioenrenta.com</t>
        </is>
      </c>
      <c r="I37" s="48" t="n"/>
      <c r="J37" s="48" t="n"/>
      <c r="K37" s="48" t="n"/>
      <c r="L37" s="48" t="n"/>
      <c r="M37" s="49" t="inlineStr">
        <is>
          <t>Renta mobiliario (nicho core)</t>
        </is>
      </c>
      <c r="N37" s="48" t="inlineStr">
        <is>
          <t>A Corto / C si objetan</t>
        </is>
      </c>
      <c r="O37" s="48" t="inlineStr">
        <is>
          <t>Por contactar</t>
        </is>
      </c>
      <c r="P37" s="48" t="n"/>
      <c r="Q37" s="48" t="n"/>
      <c r="R37" s="48" t="n"/>
      <c r="S37" s="48" t="n"/>
    </row>
    <row r="38" ht="15" customHeight="1" s="30">
      <c r="A38" s="44" t="n">
        <v>37</v>
      </c>
      <c r="B38" s="45" t="inlineStr">
        <is>
          <t>Alquiladora Pirotecnia</t>
        </is>
      </c>
      <c r="C38" s="51" t="n">
        <v>9</v>
      </c>
      <c r="D38" s="44" t="inlineStr">
        <is>
          <t>+52 55 3161 4795</t>
        </is>
      </c>
      <c r="E38" s="47" t="inlineStr">
        <is>
          <t>Abrir chat</t>
        </is>
      </c>
      <c r="F38" s="44" t="inlineStr">
        <is>
          <t>Alquiler equipos para fiestas</t>
        </is>
      </c>
      <c r="G38" s="44" t="inlineStr">
        <is>
          <t>Tlacuitlapa</t>
        </is>
      </c>
      <c r="H38" s="44" t="n"/>
      <c r="I38" s="44" t="n"/>
      <c r="J38" s="44" t="n"/>
      <c r="K38" s="44" t="n">
        <v>5</v>
      </c>
      <c r="L38" s="44" t="n">
        <v>3</v>
      </c>
      <c r="M38" s="45" t="inlineStr">
        <is>
          <t>Alquiler eventos; sin web (alto potencial)</t>
        </is>
      </c>
      <c r="N38" s="44" t="inlineStr">
        <is>
          <t>A Corto</t>
        </is>
      </c>
      <c r="O38" s="44" t="inlineStr">
        <is>
          <t>Por contactar</t>
        </is>
      </c>
      <c r="P38" s="44" t="n"/>
      <c r="Q38" s="44" t="n"/>
      <c r="R38" s="44" t="n"/>
      <c r="S38" s="44" t="n"/>
    </row>
    <row r="39" ht="22.35" customHeight="1" s="30">
      <c r="A39" s="48" t="n">
        <v>38</v>
      </c>
      <c r="B39" s="49" t="inlineStr">
        <is>
          <t>Renta de periqueras / Mobiliario (Eventos Innovacion 2do tel)</t>
        </is>
      </c>
      <c r="C39" s="52" t="n">
        <v>8</v>
      </c>
      <c r="D39" s="48" t="inlineStr">
        <is>
          <t>+52 55 3251 7641</t>
        </is>
      </c>
      <c r="E39" s="50" t="inlineStr">
        <is>
          <t>Abrir chat</t>
        </is>
      </c>
      <c r="F39" s="48" t="inlineStr">
        <is>
          <t>Alquiler equipos para fiestas</t>
        </is>
      </c>
      <c r="G39" s="48" t="inlineStr">
        <is>
          <t>Doctores</t>
        </is>
      </c>
      <c r="H39" s="48" t="inlineStr">
        <is>
          <t>eventosinnovacion.com</t>
        </is>
      </c>
      <c r="I39" s="48" t="inlineStr">
        <is>
          <t>eventosinnovacion@gmail.com</t>
        </is>
      </c>
      <c r="J39" s="48" t="n"/>
      <c r="K39" s="48" t="n">
        <v>4.5</v>
      </c>
      <c r="L39" s="48" t="n">
        <v>65</v>
      </c>
      <c r="M39" s="49" t="inlineStr">
        <is>
          <t>Nicho core (revisar: posible duplicado de Eventos Innovacion)</t>
        </is>
      </c>
      <c r="N39" s="48" t="inlineStr">
        <is>
          <t>A Corto / C si objetan</t>
        </is>
      </c>
      <c r="O39" s="48" t="inlineStr">
        <is>
          <t>Por contactar</t>
        </is>
      </c>
      <c r="P39" s="48" t="n"/>
      <c r="Q39" s="48" t="n"/>
      <c r="R39" s="48" t="n"/>
      <c r="S39" s="48" t="n"/>
    </row>
    <row r="40" ht="15" customHeight="1" s="30">
      <c r="A40" s="44" t="n">
        <v>39</v>
      </c>
      <c r="B40" s="45" t="inlineStr">
        <is>
          <t>Decoraciones para eventos, picnic y teepes</t>
        </is>
      </c>
      <c r="C40" s="52" t="n">
        <v>8</v>
      </c>
      <c r="D40" s="44" t="inlineStr">
        <is>
          <t>+52 56 2661 7074</t>
        </is>
      </c>
      <c r="E40" s="47" t="inlineStr">
        <is>
          <t>Abrir chat</t>
        </is>
      </c>
      <c r="F40" s="44" t="inlineStr">
        <is>
          <t>Organizador de eventos</t>
        </is>
      </c>
      <c r="G40" s="44" t="inlineStr">
        <is>
          <t>Portales Norte</t>
        </is>
      </c>
      <c r="H40" s="44" t="inlineStr">
        <is>
          <t>partypaiute.com</t>
        </is>
      </c>
      <c r="I40" s="44" t="n"/>
      <c r="J40" s="44" t="n"/>
      <c r="K40" s="44" t="n">
        <v>4</v>
      </c>
      <c r="L40" s="44" t="n">
        <v>62</v>
      </c>
      <c r="M40" s="45" t="inlineStr">
        <is>
          <t>Nicho picnic exacto</t>
        </is>
      </c>
      <c r="N40" s="44" t="inlineStr">
        <is>
          <t>A Corto / C si objetan</t>
        </is>
      </c>
      <c r="O40" s="44" t="inlineStr">
        <is>
          <t>Por contactar</t>
        </is>
      </c>
      <c r="P40" s="44" t="n"/>
      <c r="Q40" s="44" t="n"/>
      <c r="R40" s="44" t="n"/>
      <c r="S40" s="44" t="n"/>
    </row>
    <row r="41" ht="15" customHeight="1" s="30">
      <c r="A41" s="48" t="n">
        <v>40</v>
      </c>
      <c r="B41" s="49" t="inlineStr">
        <is>
          <t>Alquiladora Alba</t>
        </is>
      </c>
      <c r="C41" s="52" t="n">
        <v>8</v>
      </c>
      <c r="D41" s="48" t="inlineStr">
        <is>
          <t>+52 55 3479 2283</t>
        </is>
      </c>
      <c r="E41" s="50" t="inlineStr">
        <is>
          <t>Abrir chat</t>
        </is>
      </c>
      <c r="F41" s="48" t="inlineStr">
        <is>
          <t>Alquiler equipos para fiestas</t>
        </is>
      </c>
      <c r="G41" s="48" t="inlineStr">
        <is>
          <t>Moctezuma 2da Seccion</t>
        </is>
      </c>
      <c r="H41" s="48" t="inlineStr">
        <is>
          <t>facebook</t>
        </is>
      </c>
      <c r="I41" s="48" t="n"/>
      <c r="J41" s="48" t="n"/>
      <c r="K41" s="48" t="n">
        <v>4.9</v>
      </c>
      <c r="L41" s="48" t="n">
        <v>61</v>
      </c>
      <c r="M41" s="49" t="inlineStr">
        <is>
          <t>Alquiler eventos</t>
        </is>
      </c>
      <c r="N41" s="48" t="inlineStr">
        <is>
          <t>A Corto / C si objetan</t>
        </is>
      </c>
      <c r="O41" s="48" t="inlineStr">
        <is>
          <t>Por contactar</t>
        </is>
      </c>
      <c r="P41" s="48" t="n"/>
      <c r="Q41" s="48" t="n"/>
      <c r="R41" s="48" t="n"/>
      <c r="S41" s="48" t="n"/>
    </row>
    <row r="42" ht="15" customHeight="1" s="30">
      <c r="A42" s="44" t="n">
        <v>41</v>
      </c>
      <c r="B42" s="45" t="inlineStr">
        <is>
          <t>Renta De Sillas Y Mesas Para Eventos Dos Dos</t>
        </is>
      </c>
      <c r="C42" s="52" t="n">
        <v>8</v>
      </c>
      <c r="D42" s="44" t="inlineStr">
        <is>
          <t>+52 55 2773 0538</t>
        </is>
      </c>
      <c r="E42" s="47" t="inlineStr">
        <is>
          <t>Abrir chat</t>
        </is>
      </c>
      <c r="F42" s="44" t="inlineStr">
        <is>
          <t>Alquiler equipos para fiestas</t>
        </is>
      </c>
      <c r="G42" s="44" t="inlineStr">
        <is>
          <t>Heroes de Padierna</t>
        </is>
      </c>
      <c r="H42" s="44" t="inlineStr">
        <is>
          <t>rentadesillasymesasdosdos.com</t>
        </is>
      </c>
      <c r="I42" s="44" t="inlineStr">
        <is>
          <t>alquiladoradosdos@hotmail.com</t>
        </is>
      </c>
      <c r="J42" s="44" t="inlineStr">
        <is>
          <t>instagram.com/alquiladora_dosdos</t>
        </is>
      </c>
      <c r="K42" s="44" t="n">
        <v>4.1</v>
      </c>
      <c r="L42" s="44" t="n">
        <v>42</v>
      </c>
      <c r="M42" s="45" t="inlineStr">
        <is>
          <t>Renta sillas y mesas (nicho core)</t>
        </is>
      </c>
      <c r="N42" s="44" t="inlineStr">
        <is>
          <t>A Corto / C si objetan</t>
        </is>
      </c>
      <c r="O42" s="44" t="inlineStr">
        <is>
          <t>Por contactar</t>
        </is>
      </c>
      <c r="P42" s="44" t="n"/>
      <c r="Q42" s="44" t="n"/>
      <c r="R42" s="44" t="n"/>
      <c r="S42" s="44" t="n"/>
    </row>
    <row r="43" ht="22.35" customHeight="1" s="30">
      <c r="A43" s="48" t="n">
        <v>42</v>
      </c>
      <c r="B43" s="49" t="inlineStr">
        <is>
          <t>ADH Corp | Renta de carpas y servicios para eventos</t>
        </is>
      </c>
      <c r="C43" s="52" t="n">
        <v>8</v>
      </c>
      <c r="D43" s="48" t="inlineStr">
        <is>
          <t>+52 56 1762 2815</t>
        </is>
      </c>
      <c r="E43" s="50" t="inlineStr">
        <is>
          <t>Abrir chat</t>
        </is>
      </c>
      <c r="F43" s="48" t="inlineStr">
        <is>
          <t>Alquiler de mobiliario</t>
        </is>
      </c>
      <c r="G43" s="48" t="inlineStr">
        <is>
          <t>Hogar y Redencion</t>
        </is>
      </c>
      <c r="H43" s="48" t="inlineStr">
        <is>
          <t>adhcorp (canva)</t>
        </is>
      </c>
      <c r="I43" s="48" t="n"/>
      <c r="J43" s="48" t="n"/>
      <c r="K43" s="48" t="n">
        <v>5</v>
      </c>
      <c r="L43" s="48" t="n">
        <v>34</v>
      </c>
      <c r="M43" s="49" t="inlineStr">
        <is>
          <t>Alquiler eventos</t>
        </is>
      </c>
      <c r="N43" s="48" t="inlineStr">
        <is>
          <t>A Corto / C si objetan</t>
        </is>
      </c>
      <c r="O43" s="48" t="inlineStr">
        <is>
          <t>Por contactar</t>
        </is>
      </c>
      <c r="P43" s="48" t="n"/>
      <c r="Q43" s="48" t="n"/>
      <c r="R43" s="48" t="n"/>
      <c r="S43" s="48" t="n"/>
    </row>
    <row r="44" ht="15" customHeight="1" s="30">
      <c r="A44" s="44" t="n">
        <v>43</v>
      </c>
      <c r="B44" s="45" t="inlineStr">
        <is>
          <t>Alquiladora Vargas</t>
        </is>
      </c>
      <c r="C44" s="52" t="n">
        <v>8</v>
      </c>
      <c r="D44" s="44" t="inlineStr">
        <is>
          <t>+52 55 6626 2784</t>
        </is>
      </c>
      <c r="E44" s="47" t="inlineStr">
        <is>
          <t>Abrir chat</t>
        </is>
      </c>
      <c r="F44" s="44" t="inlineStr">
        <is>
          <t>Alquiler equipos para fiestas</t>
        </is>
      </c>
      <c r="G44" s="44" t="inlineStr">
        <is>
          <t>Santa Martha Acatitla</t>
        </is>
      </c>
      <c r="H44" s="44" t="inlineStr">
        <is>
          <t>facebook</t>
        </is>
      </c>
      <c r="I44" s="44" t="inlineStr">
        <is>
          <t>fcknfreshmorro@gmail.com</t>
        </is>
      </c>
      <c r="J44" s="44" t="n"/>
      <c r="K44" s="44" t="n">
        <v>4</v>
      </c>
      <c r="L44" s="44" t="n">
        <v>26</v>
      </c>
      <c r="M44" s="45" t="inlineStr">
        <is>
          <t>Alquiler eventos</t>
        </is>
      </c>
      <c r="N44" s="44" t="inlineStr">
        <is>
          <t>A Corto / C si objetan</t>
        </is>
      </c>
      <c r="O44" s="44" t="inlineStr">
        <is>
          <t>Por contactar</t>
        </is>
      </c>
      <c r="P44" s="44" t="n"/>
      <c r="Q44" s="44" t="n"/>
      <c r="R44" s="44" t="n"/>
      <c r="S44" s="44" t="n"/>
    </row>
    <row r="45" ht="15" customHeight="1" s="30">
      <c r="A45" s="48" t="n">
        <v>44</v>
      </c>
      <c r="B45" s="49" t="inlineStr">
        <is>
          <t>Alquiladora San Antonio renta de sillas y mesas</t>
        </is>
      </c>
      <c r="C45" s="52" t="n">
        <v>8</v>
      </c>
      <c r="D45" s="48" t="inlineStr">
        <is>
          <t>+52 55 8669 7168</t>
        </is>
      </c>
      <c r="E45" s="50" t="inlineStr">
        <is>
          <t>Abrir chat</t>
        </is>
      </c>
      <c r="F45" s="48" t="inlineStr">
        <is>
          <t>Organizador de eventos</t>
        </is>
      </c>
      <c r="G45" s="48" t="inlineStr">
        <is>
          <t>Santa Maria Nonoalco</t>
        </is>
      </c>
      <c r="H45" s="48" t="inlineStr">
        <is>
          <t>rentadesillasymesas.fun</t>
        </is>
      </c>
      <c r="I45" s="48" t="n"/>
      <c r="J45" s="48" t="n"/>
      <c r="K45" s="48" t="n">
        <v>4.5</v>
      </c>
      <c r="L45" s="48" t="n">
        <v>20</v>
      </c>
      <c r="M45" s="49" t="inlineStr">
        <is>
          <t>Renta sillas y mesas (nicho core)</t>
        </is>
      </c>
      <c r="N45" s="48" t="inlineStr">
        <is>
          <t>A Corto / C si objetan</t>
        </is>
      </c>
      <c r="O45" s="48" t="inlineStr">
        <is>
          <t>Por contactar</t>
        </is>
      </c>
      <c r="P45" s="48" t="n"/>
      <c r="Q45" s="48" t="n"/>
      <c r="R45" s="48" t="n"/>
      <c r="S45" s="48" t="n"/>
    </row>
    <row r="46" ht="15" customHeight="1" s="30">
      <c r="A46" s="44" t="n">
        <v>45</v>
      </c>
      <c r="B46" s="45" t="inlineStr">
        <is>
          <t>Alquiladora Chapultepec</t>
        </is>
      </c>
      <c r="C46" s="52" t="n">
        <v>8</v>
      </c>
      <c r="D46" s="44" t="inlineStr">
        <is>
          <t>+52 55 5277 2027</t>
        </is>
      </c>
      <c r="E46" s="47" t="inlineStr">
        <is>
          <t>Abrir chat</t>
        </is>
      </c>
      <c r="F46" s="44" t="inlineStr">
        <is>
          <t>Alquiler equipos para fiestas</t>
        </is>
      </c>
      <c r="G46" s="44" t="inlineStr">
        <is>
          <t>San Miguel Chapultepec</t>
        </is>
      </c>
      <c r="H46" s="44" t="inlineStr">
        <is>
          <t>alquiladorachapultepec.com</t>
        </is>
      </c>
      <c r="I46" s="44" t="inlineStr">
        <is>
          <t>alquiladorachapultepec@hotmail.com</t>
        </is>
      </c>
      <c r="J46" s="44" t="n"/>
      <c r="K46" s="44" t="n">
        <v>4.4</v>
      </c>
      <c r="L46" s="44" t="n">
        <v>19</v>
      </c>
      <c r="M46" s="45" t="inlineStr">
        <is>
          <t>Alquiler eventos</t>
        </is>
      </c>
      <c r="N46" s="44" t="inlineStr">
        <is>
          <t>A Corto / C si objetan</t>
        </is>
      </c>
      <c r="O46" s="44" t="inlineStr">
        <is>
          <t>Por contactar</t>
        </is>
      </c>
      <c r="P46" s="44" t="n"/>
      <c r="Q46" s="44" t="n"/>
      <c r="R46" s="44" t="n"/>
      <c r="S46" s="44" t="n"/>
    </row>
    <row r="47" ht="15" customHeight="1" s="30">
      <c r="A47" s="48" t="n">
        <v>46</v>
      </c>
      <c r="B47" s="49" t="inlineStr">
        <is>
          <t>Banquetes y Alquiler Casa Flores</t>
        </is>
      </c>
      <c r="C47" s="52" t="n">
        <v>8</v>
      </c>
      <c r="D47" s="48" t="inlineStr">
        <is>
          <t>+52 55 6673 1100</t>
        </is>
      </c>
      <c r="E47" s="50" t="inlineStr">
        <is>
          <t>Abrir chat</t>
        </is>
      </c>
      <c r="F47" s="48" t="inlineStr">
        <is>
          <t>Alquiler equipos para fiestas</t>
        </is>
      </c>
      <c r="G47" s="48" t="inlineStr">
        <is>
          <t>El Retono</t>
        </is>
      </c>
      <c r="H47" s="48" t="inlineStr">
        <is>
          <t>eventoscasaflores (canva)</t>
        </is>
      </c>
      <c r="I47" s="48" t="n"/>
      <c r="J47" s="48" t="n"/>
      <c r="K47" s="48" t="n">
        <v>3.8</v>
      </c>
      <c r="L47" s="48" t="n">
        <v>18</v>
      </c>
      <c r="M47" s="49" t="inlineStr">
        <is>
          <t>Alquiler eventos</t>
        </is>
      </c>
      <c r="N47" s="48" t="inlineStr">
        <is>
          <t>A Corto / C si objetan</t>
        </is>
      </c>
      <c r="O47" s="48" t="inlineStr">
        <is>
          <t>Por contactar</t>
        </is>
      </c>
      <c r="P47" s="48" t="n"/>
      <c r="Q47" s="48" t="n"/>
      <c r="R47" s="48" t="n"/>
      <c r="S47" s="48" t="n"/>
    </row>
    <row r="48" ht="15" customHeight="1" s="30">
      <c r="A48" s="44" t="n">
        <v>47</v>
      </c>
      <c r="B48" s="45" t="inlineStr">
        <is>
          <t>Alquiladora Lomas Altas</t>
        </is>
      </c>
      <c r="C48" s="52" t="n">
        <v>8</v>
      </c>
      <c r="D48" s="44" t="inlineStr">
        <is>
          <t>+52 56 1206 1872</t>
        </is>
      </c>
      <c r="E48" s="47" t="inlineStr">
        <is>
          <t>Abrir chat</t>
        </is>
      </c>
      <c r="F48" s="44" t="inlineStr">
        <is>
          <t>Alquiler equipos para fiestas</t>
        </is>
      </c>
      <c r="G48" s="44" t="inlineStr">
        <is>
          <t>Lomas Altas</t>
        </is>
      </c>
      <c r="H48" s="44" t="inlineStr">
        <is>
          <t>alquiladoralomasaltas.mx</t>
        </is>
      </c>
      <c r="I48" s="44" t="inlineStr">
        <is>
          <t>ventas@alquiladoralomasaltas.mx</t>
        </is>
      </c>
      <c r="J48" s="44" t="n"/>
      <c r="K48" s="44" t="n">
        <v>5</v>
      </c>
      <c r="L48" s="44" t="n">
        <v>15</v>
      </c>
      <c r="M48" s="45" t="inlineStr">
        <is>
          <t>Alquiler eventos</t>
        </is>
      </c>
      <c r="N48" s="44" t="inlineStr">
        <is>
          <t>A Corto / C si objetan</t>
        </is>
      </c>
      <c r="O48" s="44" t="inlineStr">
        <is>
          <t>Por contactar</t>
        </is>
      </c>
      <c r="P48" s="44" t="n"/>
      <c r="Q48" s="44" t="n"/>
      <c r="R48" s="44" t="n"/>
      <c r="S48" s="44" t="n"/>
    </row>
  </sheetData>
  <autoFilter ref="A1:S48"/>
  <dataValidations count="2">
    <dataValidation sqref="O2:O48" showDropDown="0" showInputMessage="0" showErrorMessage="0" allowBlank="1" type="list" errorStyle="stop" operator="between">
      <formula1>"Por contactar,Contactado,Respondio,En negociacion,Cerrado ganado,Cerrado perdido,No interesado"</formula1>
      <formula2>0</formula2>
    </dataValidation>
    <dataValidation sqref="P2:P48" showDropDown="0" showInputMessage="0" showErrorMessage="0" allowBlank="1" type="list" errorStyle="stop" operator="between">
      <formula1>"Sin respuesta,Interesado,Tibio,Pidio info,Objecion precio,Objecion marketing,No"</formula1>
      <formula2>0</formula2>
    </dataValidation>
  </dataValidations>
  <hyperlinks>
    <hyperlink xmlns:r="http://schemas.openxmlformats.org/officeDocument/2006/relationships" ref="E2" display="Abrir chat" r:id="rId1"/>
    <hyperlink xmlns:r="http://schemas.openxmlformats.org/officeDocument/2006/relationships" ref="E3" display="Abrir chat" r:id="rId2"/>
    <hyperlink xmlns:r="http://schemas.openxmlformats.org/officeDocument/2006/relationships" ref="E4" display="Abrir chat" r:id="rId3"/>
    <hyperlink xmlns:r="http://schemas.openxmlformats.org/officeDocument/2006/relationships" ref="E5" display="Abrir chat" r:id="rId4"/>
    <hyperlink xmlns:r="http://schemas.openxmlformats.org/officeDocument/2006/relationships" ref="E6" display="Abrir chat" r:id="rId5"/>
    <hyperlink xmlns:r="http://schemas.openxmlformats.org/officeDocument/2006/relationships" ref="E7" display="Abrir chat" r:id="rId6"/>
    <hyperlink xmlns:r="http://schemas.openxmlformats.org/officeDocument/2006/relationships" ref="E8" display="Abrir chat" r:id="rId7"/>
    <hyperlink xmlns:r="http://schemas.openxmlformats.org/officeDocument/2006/relationships" ref="E9" display="Abrir chat" r:id="rId8"/>
    <hyperlink xmlns:r="http://schemas.openxmlformats.org/officeDocument/2006/relationships" ref="E10" display="Abrir chat" r:id="rId9"/>
    <hyperlink xmlns:r="http://schemas.openxmlformats.org/officeDocument/2006/relationships" ref="E11" display="Abrir chat" r:id="rId10"/>
    <hyperlink xmlns:r="http://schemas.openxmlformats.org/officeDocument/2006/relationships" ref="E12" display="Abrir chat" r:id="rId11"/>
    <hyperlink xmlns:r="http://schemas.openxmlformats.org/officeDocument/2006/relationships" ref="E13" display="Abrir chat" r:id="rId12"/>
    <hyperlink xmlns:r="http://schemas.openxmlformats.org/officeDocument/2006/relationships" ref="E14" display="Abrir chat" r:id="rId13"/>
    <hyperlink xmlns:r="http://schemas.openxmlformats.org/officeDocument/2006/relationships" ref="E15" display="Abrir chat" r:id="rId14"/>
    <hyperlink xmlns:r="http://schemas.openxmlformats.org/officeDocument/2006/relationships" ref="E16" display="Abrir chat" r:id="rId15"/>
    <hyperlink xmlns:r="http://schemas.openxmlformats.org/officeDocument/2006/relationships" ref="E17" display="Abrir chat" r:id="rId16"/>
    <hyperlink xmlns:r="http://schemas.openxmlformats.org/officeDocument/2006/relationships" ref="E18" display="Abrir chat" r:id="rId17"/>
    <hyperlink xmlns:r="http://schemas.openxmlformats.org/officeDocument/2006/relationships" ref="E19" display="Abrir chat" r:id="rId18"/>
    <hyperlink xmlns:r="http://schemas.openxmlformats.org/officeDocument/2006/relationships" ref="E20" display="Abrir chat" r:id="rId19"/>
    <hyperlink xmlns:r="http://schemas.openxmlformats.org/officeDocument/2006/relationships" ref="E21" display="Abrir chat" r:id="rId20"/>
    <hyperlink xmlns:r="http://schemas.openxmlformats.org/officeDocument/2006/relationships" ref="E22" display="Abrir chat" r:id="rId21"/>
    <hyperlink xmlns:r="http://schemas.openxmlformats.org/officeDocument/2006/relationships" ref="E23" display="Abrir chat" r:id="rId22"/>
    <hyperlink xmlns:r="http://schemas.openxmlformats.org/officeDocument/2006/relationships" ref="E24" display="Abrir chat" r:id="rId23"/>
    <hyperlink xmlns:r="http://schemas.openxmlformats.org/officeDocument/2006/relationships" ref="E25" display="Abrir chat" r:id="rId24"/>
    <hyperlink xmlns:r="http://schemas.openxmlformats.org/officeDocument/2006/relationships" ref="E26" display="Abrir chat" r:id="rId25"/>
    <hyperlink xmlns:r="http://schemas.openxmlformats.org/officeDocument/2006/relationships" ref="E27" display="Abrir chat" r:id="rId26"/>
    <hyperlink xmlns:r="http://schemas.openxmlformats.org/officeDocument/2006/relationships" ref="E28" display="Abrir chat" r:id="rId27"/>
    <hyperlink xmlns:r="http://schemas.openxmlformats.org/officeDocument/2006/relationships" ref="E29" display="Abrir chat" r:id="rId28"/>
    <hyperlink xmlns:r="http://schemas.openxmlformats.org/officeDocument/2006/relationships" ref="E30" display="Abrir chat" r:id="rId29"/>
    <hyperlink xmlns:r="http://schemas.openxmlformats.org/officeDocument/2006/relationships" ref="E31" display="Abrir chat" r:id="rId30"/>
    <hyperlink xmlns:r="http://schemas.openxmlformats.org/officeDocument/2006/relationships" ref="E32" display="Abrir chat" r:id="rId31"/>
    <hyperlink xmlns:r="http://schemas.openxmlformats.org/officeDocument/2006/relationships" ref="E33" display="Abrir chat" r:id="rId32"/>
    <hyperlink xmlns:r="http://schemas.openxmlformats.org/officeDocument/2006/relationships" ref="E34" display="Abrir chat" r:id="rId33"/>
    <hyperlink xmlns:r="http://schemas.openxmlformats.org/officeDocument/2006/relationships" ref="E35" display="Abrir chat" r:id="rId34"/>
    <hyperlink xmlns:r="http://schemas.openxmlformats.org/officeDocument/2006/relationships" ref="E36" display="Abrir chat" r:id="rId35"/>
    <hyperlink xmlns:r="http://schemas.openxmlformats.org/officeDocument/2006/relationships" ref="E37" display="Abrir chat" r:id="rId36"/>
    <hyperlink xmlns:r="http://schemas.openxmlformats.org/officeDocument/2006/relationships" ref="E38" display="Abrir chat" r:id="rId37"/>
    <hyperlink xmlns:r="http://schemas.openxmlformats.org/officeDocument/2006/relationships" ref="E39" display="Abrir chat" r:id="rId38"/>
    <hyperlink xmlns:r="http://schemas.openxmlformats.org/officeDocument/2006/relationships" ref="E40" display="Abrir chat" r:id="rId39"/>
    <hyperlink xmlns:r="http://schemas.openxmlformats.org/officeDocument/2006/relationships" ref="E41" display="Abrir chat" r:id="rId40"/>
    <hyperlink xmlns:r="http://schemas.openxmlformats.org/officeDocument/2006/relationships" ref="E42" display="Abrir chat" r:id="rId41"/>
    <hyperlink xmlns:r="http://schemas.openxmlformats.org/officeDocument/2006/relationships" ref="E43" display="Abrir chat" r:id="rId42"/>
    <hyperlink xmlns:r="http://schemas.openxmlformats.org/officeDocument/2006/relationships" ref="E44" display="Abrir chat" r:id="rId43"/>
    <hyperlink xmlns:r="http://schemas.openxmlformats.org/officeDocument/2006/relationships" ref="E45" display="Abrir chat" r:id="rId44"/>
    <hyperlink xmlns:r="http://schemas.openxmlformats.org/officeDocument/2006/relationships" ref="E46" display="Abrir chat" r:id="rId45"/>
    <hyperlink xmlns:r="http://schemas.openxmlformats.org/officeDocument/2006/relationships" ref="E47" display="Abrir chat" r:id="rId46"/>
    <hyperlink xmlns:r="http://schemas.openxmlformats.org/officeDocument/2006/relationships" ref="E48" display="Abrir chat" r:id="rId4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B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29" min="2" max="2"/>
  </cols>
  <sheetData>
    <row r="1" ht="17.35" customHeight="1" s="30">
      <c r="B1" s="53" t="inlineStr">
        <is>
          <t>Guiones de WhatsApp — usar segun perfil</t>
        </is>
      </c>
    </row>
    <row r="3" ht="15" customHeight="1" s="30">
      <c r="B3" s="39" t="inlineStr">
        <is>
          <t>SCRIPT A — Pitch corto (primer contacto, 3 mensajes)</t>
        </is>
      </c>
    </row>
    <row r="4" ht="129.75" customHeight="1" s="30">
      <c r="B4" s="54" t="inlineStr">
        <is>
          <t>Msg1: Buen dia [Empresa]. Soy Cesar de OrigenLab, consultor de activos digitales para empresas de eventos en Mexico. Me permite una propuesta directa de 30 segundos?
Msg2: Tengo disponible para renta el dominio mesaspicnic.com, posicionado #1 en Google Mexico para "renta de mesas picnic". Al rentarlo, todo ese trafico organico de clientes que buscan ese servicio llega directo a [Empresa]. Desde el dia 1, sin invertir en SEO.
Msg3: Inversion: $2,000 MXN/mes los primeros 3 meses, luego $4,000/mes. Exclusivo para un arrendatario a la vez. Le interesa ver las metricas reales del sitio?</t>
        </is>
      </c>
    </row>
    <row r="6" ht="15" customHeight="1" s="30">
      <c r="B6" s="55" t="inlineStr">
        <is>
          <t>SCRIPT B — Pitch premium (empresas grandes, +150 resenas)</t>
        </is>
      </c>
    </row>
    <row r="7" ht="129.75" customHeight="1" s="30">
      <c r="B7" s="54" t="inlineStr">
        <is>
          <t>Msg1: Buenos dias. Soy Cesar, consultor de activos digitales para empresas lideres del sector eventos. Tengo un activo digital de alto valor y solo lo ofrezco a empresas con el perfil de [Empresa].
Msg2: El activo: dominio mesaspicnic.com, #1 en Google Mexico para "renta de mesas picnic". 15 palabras clave activas, Authority Score 10, 52.9% de intencion comercial. Trafico de personas que ya decidieron contratar.
Msg3: Para [Empresa] el retorno es desde el primer evento cerrado. Inversion $2,000 MXN/mes (3 meses) -&gt; $4,000/mes. Factura disponible. Le envio el reporte completo o agendamos 15 min esta semana?</t>
        </is>
      </c>
    </row>
    <row r="9" ht="15" customHeight="1" s="30">
      <c r="B9" s="56" t="inlineStr">
        <is>
          <t>SCRIPT C — Objecion: 'ya tenemos quien nos lleva marketing'</t>
        </is>
      </c>
    </row>
    <row r="10" ht="129.75" customHeight="1" s="30">
      <c r="B10" s="54" t="inlineStr">
        <is>
          <t>Entiendo perfectamente. Una aclaracion: esto NO es un servicio de marketing. Es la renta de un activo YA posicionado: un dominio que HOY aparece #1 en Google. Su agencia trabaja para subir su propio sitio (toma meses). Yo les doy acceso a un dominio que ya esta arriba. Son dos canales en paralelo. Le tomaria 2 minutos ver las metricas reales?</t>
        </is>
      </c>
    </row>
    <row r="12" ht="15" customHeight="1" s="30">
      <c r="B12" s="39" t="inlineStr">
        <is>
          <t>SCRIPT D — Seguimiento (24-48h sin respuesta)</t>
        </is>
      </c>
    </row>
    <row r="13" ht="129.75" customHeight="1" s="30">
      <c r="B13" s="54" t="inlineStr">
        <is>
          <t>Buen dia [Empresa]. Le escribi sobre la renta de mesaspicnic.com, dominio #1 en Google para su nicho. Pudo revisarlo? Confirmo si es de interes antes de continuar el proceso con otra empresa del sector. Tengo disponibilidad esta semana.</t>
        </is>
      </c>
    </row>
    <row r="15" ht="15" customHeight="1" s="30">
      <c r="B15" s="57" t="inlineStr">
        <is>
          <t>SCRIPT E — Cierre (prospecto caliente)</t>
        </is>
      </c>
    </row>
    <row r="16" ht="129.75" customHeight="1" s="30">
      <c r="B16" s="54" t="inlineStr">
        <is>
          <t>[Empresa], para avanzar formalmente le preparo: (1) reporte de metricas con capturas de posicionamiento, (2) propuesta de renta con condiciones claras, (3) borrador de convenio de arrendamiento. Lo prefiere por este medio o por correo?</t>
        </is>
      </c>
    </row>
    <row r="18" ht="15" customHeight="1" s="30">
      <c r="B18" s="58" t="inlineStr">
        <is>
          <t>OFERTA: $2,000 MXN/mes primeros 3 meses -&gt; $4,000/mes desde mes 4. + IVA si requieren factura. Sin permanencia forzosa en periodo inicial.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2026-06-08T19:16:13Z</dcterms:created>
  <dcterms:modified xmlns:dcterms="http://purl.org/dc/terms/" xmlns:xsi="http://www.w3.org/2001/XMLSchema-instance" xsi:type="dcterms:W3CDTF">2026-06-08T19:31:49Z</dcterms:modified>
  <cp:revision>0</cp:revision>
</cp:coreProperties>
</file>